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11"/>
  <workbookPr/>
  <xr:revisionPtr revIDLastSave="39" documentId="11_D04E7D8FB7061855EBE1700D4B67C50A1783B0E3" xr6:coauthVersionLast="47" xr6:coauthVersionMax="47" xr10:uidLastSave="{F53AF56A-3145-405C-8464-BF0A3B21122F}"/>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i9SMXq2rJ7v6u1MC1m+ee5cewKDQ=="/>
    </ext>
  </extLst>
</workbook>
</file>

<file path=xl/calcChain.xml><?xml version="1.0" encoding="utf-8"?>
<calcChain xmlns="http://schemas.openxmlformats.org/spreadsheetml/2006/main">
  <c r="B27" i="1" l="1"/>
  <c r="B28" i="1"/>
</calcChain>
</file>

<file path=xl/sharedStrings.xml><?xml version="1.0" encoding="utf-8"?>
<sst xmlns="http://schemas.openxmlformats.org/spreadsheetml/2006/main" count="112" uniqueCount="90">
  <si>
    <t>ID</t>
  </si>
  <si>
    <t>Tag_Number</t>
  </si>
  <si>
    <t>Date Tagged</t>
  </si>
  <si>
    <t>Date_Entered</t>
  </si>
  <si>
    <t>Return_Date</t>
  </si>
  <si>
    <t>Days_at_Large</t>
  </si>
  <si>
    <t>Name</t>
  </si>
  <si>
    <t>Return_Location</t>
  </si>
  <si>
    <t>Address</t>
  </si>
  <si>
    <t>Comments</t>
  </si>
  <si>
    <t>Can Serial</t>
  </si>
  <si>
    <t>Latitude</t>
  </si>
  <si>
    <t>Longitude</t>
  </si>
  <si>
    <t>Unknown</t>
  </si>
  <si>
    <t>Xiao Feng Guan</t>
  </si>
  <si>
    <t>Can</t>
  </si>
  <si>
    <t>13898 113 Avenue Surrey BC V3R 2J5 Canada kenhui2000@hotmail.com</t>
  </si>
  <si>
    <t xml:space="preserve">Canned. </t>
  </si>
  <si>
    <t>66613 10603</t>
  </si>
  <si>
    <t>28/02/2022</t>
  </si>
  <si>
    <t>Jamie Russell</t>
  </si>
  <si>
    <t>2006blackbee@gmail.com; 5066625651; 11 Shore Road  Grand Manan New Brunswick E5G3E5 Canada</t>
  </si>
  <si>
    <t>Found on Grand Manan in herring we got for lobster bait.</t>
  </si>
  <si>
    <t>Chad Hersey</t>
  </si>
  <si>
    <t>chadhersey79@gmail.com; 9027480173; 22 Overton Road South Chegoggin Nova Scotia B5A5G8 Canada</t>
  </si>
  <si>
    <t>I fish for Clearwater seafoods and it was found in one of our boxes of bait that was caught by Comeau seafoods</t>
  </si>
  <si>
    <t>Tag was found on a herring we pickled last fall to use for bait for lobster fishing. Not sure where the herring came from.</t>
  </si>
  <si>
    <t>John Forrest</t>
  </si>
  <si>
    <t>john_forrest411@hotmail.com; 902-979-1413; 32 McKinnon Lane Dominion Nova Scotia B1G1L8 Canada</t>
  </si>
  <si>
    <t>Unfortunately unable to provide the tag number. Before each trip we empty each box and dispose of them in our trash bins. It had probably been sitting with other bait for two days or more. It was purchased through our buyer.</t>
  </si>
  <si>
    <t>Unknown - missing two numbers</t>
  </si>
  <si>
    <t>Shitoncia Stapleton</t>
  </si>
  <si>
    <t>shitonciastapleton@gmail.com; 1-869-664-6510</t>
  </si>
  <si>
    <t>Found a reward tag in a sardine would be happy to receive whatever reward may come with it</t>
  </si>
  <si>
    <t>Nadia Mancini</t>
  </si>
  <si>
    <t>nadia.mancini@hotmail.com;1-514-233-7732</t>
  </si>
  <si>
    <t>The 3rd number is not readable but it looks like 1</t>
  </si>
  <si>
    <t>25/5/2022</t>
  </si>
  <si>
    <t>Patrick Smith</t>
  </si>
  <si>
    <t>Patrick6597@aol.com; 940-781-6077; 341 Running Bear Trail, Wichita Falls, USA</t>
  </si>
  <si>
    <t>It made my evening meal interesting. I hope I win, it would make a Memorial Day weekend with my Grandson even more special.</t>
  </si>
  <si>
    <t>0293CBXSXX</t>
  </si>
  <si>
    <t>Devin Cormier</t>
  </si>
  <si>
    <t>Devin.cormier@icloud.com; 9028706675; 1727 upperspringfield rd   Antigonish Nova Scotia  B0H 1X0 Canada</t>
  </si>
  <si>
    <t>Found in bait box was no serial number on box just caught in area 21 northwest atlantic</t>
  </si>
  <si>
    <t>Area 21 northwest atlantic</t>
  </si>
  <si>
    <t>Foli Stevens</t>
  </si>
  <si>
    <t>foli.stevens@gmail.com; 581-980-9961; 69/13 rue flaubert   L?vis  Qu?bec  G6V8C3  United States</t>
  </si>
  <si>
    <t>Canned herring, no serial #</t>
  </si>
  <si>
    <t>AFTER 2022 DRAW (FOR 20221 SEASON)</t>
  </si>
  <si>
    <t>Bert Marshall</t>
  </si>
  <si>
    <t>brandon_bert@outlook.com; 242-436-4877; 74 meadows blvd., Winton, Nassau N., 3689 Bahamas</t>
  </si>
  <si>
    <t>Found in can in Bahamas</t>
  </si>
  <si>
    <t>1307CBXSXX</t>
  </si>
  <si>
    <t>14/7/2022</t>
  </si>
  <si>
    <t>Lobster Pot in LFA40 on Browns Bank</t>
  </si>
  <si>
    <t>902-748-0173; chadhersey79@gmail.com; 22 overton road south chegoggin NS B5A 5G8</t>
  </si>
  <si>
    <t>30/7/2022</t>
  </si>
  <si>
    <t>Chantal Rocheleau</t>
  </si>
  <si>
    <t>rocheleau.chantal@gmail.com;4185597250; 1066 5ieme avenue  Saint-Gabriel-de-Valcartier QC G0A 4S0 Canada</t>
  </si>
  <si>
    <t>Connors Sardines Can</t>
  </si>
  <si>
    <t>Damien Odo</t>
  </si>
  <si>
    <t>Processing plant - LFA26A2</t>
  </si>
  <si>
    <t>damienleeodo@outlook.com; 902-331-1815; 22 spruce st   Trenton Nova Scotia  B0k 1X0 Canada</t>
  </si>
  <si>
    <t>Found in tray of herring in LFA26A2</t>
  </si>
  <si>
    <t>Kim McCay</t>
  </si>
  <si>
    <t>kimandchris246@hotmail.com; 250-204-7171</t>
  </si>
  <si>
    <t>Can of herring</t>
  </si>
  <si>
    <t>Not given</t>
  </si>
  <si>
    <t>****BELOW</t>
  </si>
  <si>
    <t>Jason Doucette</t>
  </si>
  <si>
    <t>Fishing plant, no info given</t>
  </si>
  <si>
    <t>jasonrdoucette@gmail.com; 9027406178; 196 Argyle Street  Yarmouth NS B5A 3X3 Canada</t>
  </si>
  <si>
    <t>the fish was caught during normal plant fishing operations</t>
  </si>
  <si>
    <t>15/10/2022</t>
  </si>
  <si>
    <t>Kaven Guthrie</t>
  </si>
  <si>
    <t>brandyguthrie31@gmail.com; 5066604557; 886 route 776 Grand Manan NB</t>
  </si>
  <si>
    <t>Herring bait pockets for FLA38 lobster fishing</t>
  </si>
  <si>
    <t>17/10/2022</t>
  </si>
  <si>
    <t>Japeth Parker</t>
  </si>
  <si>
    <t>japeth_parker@outlook.com; 5063213823; 156 Hill Rd Grand Manan NB E5G 4C4</t>
  </si>
  <si>
    <t>2000lb tub of lobster bait</t>
  </si>
  <si>
    <t>Daniel Melanson</t>
  </si>
  <si>
    <t>Herring processing plant</t>
  </si>
  <si>
    <t>45 Leonce St. Haute Aboujagane New Brunswick E4P 9E2 Canada, phone: 5065330865, email: danmlson@rogers.com</t>
  </si>
  <si>
    <t>Fish was caught in Port Mouton, NS</t>
  </si>
  <si>
    <t>Email: Japeth_parker@outlook.com Phone number: 1 506 321 3823 Address: 156 Hill Road   Grand Manan NB E5G 4C4 Canada</t>
  </si>
  <si>
    <t>Frozen tub of lobster bait, unsure of time/location caught</t>
  </si>
  <si>
    <t>****No match in tag database for 522942, closest is:</t>
  </si>
  <si>
    <t>Sealife; Annik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</si>
</sst>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0.0000"/>
    <numFmt numFmtId="166" formatCode="mmmm\ d\,\ yyyy"/>
    <numFmt numFmtId="167" formatCode="mm/dd/yyyy"/>
    <numFmt numFmtId="168" formatCode="yyyy\-mm\-dd"/>
  </numFmts>
  <fonts count="10">
    <font>
      <sz val="11"/>
      <color theme="1"/>
      <name val="Calibri"/>
      <scheme val="minor"/>
    </font>
    <font>
      <sz val="11"/>
      <color rgb="FFFF0000"/>
      <name val="Calibri"/>
    </font>
    <font>
      <b/>
      <sz val="11"/>
      <color rgb="FFFF0000"/>
      <name val="Calibri"/>
    </font>
    <font>
      <sz val="11"/>
      <color theme="1"/>
      <name val="Calibri"/>
    </font>
    <font>
      <sz val="11"/>
      <color rgb="FF444444"/>
      <name val="Calibri"/>
    </font>
    <font>
      <u/>
      <sz val="11"/>
      <color theme="10"/>
      <name val="Calibri"/>
    </font>
    <font>
      <sz val="11"/>
      <color rgb="FF222222"/>
      <name val="Calibri"/>
    </font>
    <font>
      <u/>
      <sz val="11"/>
      <color rgb="FF0563C1"/>
      <name val="Calibri"/>
    </font>
    <font>
      <sz val="11"/>
      <color rgb="FF0563C1"/>
      <name val="Calibri"/>
    </font>
    <font>
      <sz val="11"/>
      <color rgb="FF000000"/>
      <name val="Aptos Narrow"/>
      <family val="2"/>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0" xfId="0" applyFont="1" applyAlignment="1">
      <alignment horizontal="left"/>
    </xf>
    <xf numFmtId="164" fontId="3" fillId="0" borderId="0" xfId="0" applyNumberFormat="1" applyFont="1" applyAlignment="1">
      <alignment horizontal="left"/>
    </xf>
    <xf numFmtId="0" fontId="5" fillId="0" borderId="0" xfId="0" applyFont="1" applyAlignment="1">
      <alignment horizontal="left"/>
    </xf>
    <xf numFmtId="0" fontId="3" fillId="0" borderId="0" xfId="0" applyFont="1" applyAlignment="1">
      <alignment horizontal="left" vertical="top" wrapText="1"/>
    </xf>
    <xf numFmtId="0" fontId="3" fillId="0" borderId="0" xfId="0" applyFont="1" applyAlignment="1">
      <alignment horizontal="left" wrapText="1"/>
    </xf>
    <xf numFmtId="0" fontId="6" fillId="0" borderId="0" xfId="0" applyFont="1" applyAlignment="1">
      <alignment horizontal="left"/>
    </xf>
    <xf numFmtId="0" fontId="7" fillId="0" borderId="0" xfId="0" applyFont="1" applyAlignment="1">
      <alignment horizontal="left" wrapText="1"/>
    </xf>
    <xf numFmtId="0" fontId="8" fillId="0" borderId="0" xfId="0" applyFont="1" applyAlignment="1">
      <alignment horizontal="left" wrapText="1"/>
    </xf>
    <xf numFmtId="14" fontId="3" fillId="0" borderId="0" xfId="0" applyNumberFormat="1" applyFont="1" applyAlignment="1">
      <alignment horizontal="left"/>
    </xf>
    <xf numFmtId="165" fontId="3" fillId="0" borderId="0" xfId="0" applyNumberFormat="1" applyFont="1" applyAlignment="1">
      <alignment horizontal="left"/>
    </xf>
    <xf numFmtId="0" fontId="8" fillId="0" borderId="0" xfId="0" applyFont="1" applyAlignment="1">
      <alignment horizontal="left"/>
    </xf>
    <xf numFmtId="0" fontId="3" fillId="2" borderId="0" xfId="0" applyFont="1" applyFill="1" applyAlignment="1">
      <alignment horizontal="left"/>
    </xf>
    <xf numFmtId="164" fontId="3" fillId="2" borderId="0" xfId="0" applyNumberFormat="1" applyFont="1" applyFill="1" applyAlignment="1">
      <alignment horizontal="left"/>
    </xf>
    <xf numFmtId="166" fontId="3" fillId="0" borderId="0" xfId="0" applyNumberFormat="1" applyFont="1" applyAlignment="1">
      <alignment horizontal="left"/>
    </xf>
    <xf numFmtId="167" fontId="3" fillId="0" borderId="0" xfId="0" applyNumberFormat="1" applyFont="1" applyAlignment="1">
      <alignment horizontal="left"/>
    </xf>
    <xf numFmtId="168" fontId="3" fillId="0" borderId="0" xfId="0" applyNumberFormat="1" applyFont="1" applyAlignment="1">
      <alignment horizontal="left"/>
    </xf>
    <xf numFmtId="0" fontId="7" fillId="0" borderId="0" xfId="0" applyFont="1" applyAlignment="1">
      <alignment horizontal="left"/>
    </xf>
    <xf numFmtId="14" fontId="9"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customschemas.google.com/relationships/workbookmetadata" Target="metadata"/><Relationship Id="rId10" Type="http://schemas.openxmlformats.org/officeDocument/2006/relationships/customXml" Target="../customXml/item1.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9"/>
  <sheetViews>
    <sheetView tabSelected="1" workbookViewId="0">
      <pane ySplit="1" topLeftCell="A2" activePane="bottomLeft" state="frozen"/>
      <selection pane="bottomLeft" activeCell="B28" sqref="B28"/>
    </sheetView>
  </sheetViews>
  <sheetFormatPr defaultColWidth="14.42578125" defaultRowHeight="15" customHeight="1"/>
  <cols>
    <col min="1" max="1" width="8.7109375" customWidth="1"/>
    <col min="2" max="3" width="31.28515625" customWidth="1"/>
    <col min="4" max="4" width="13.140625" customWidth="1"/>
    <col min="5" max="5" width="21.85546875" customWidth="1"/>
    <col min="6" max="6" width="58.28515625" customWidth="1"/>
    <col min="7" max="7" width="26.7109375" customWidth="1"/>
    <col min="8" max="8" width="45.5703125" customWidth="1"/>
    <col min="9" max="9" width="41.28515625" customWidth="1"/>
    <col min="10" max="11" width="49.28515625" customWidth="1"/>
    <col min="12" max="12" width="10.28515625" customWidth="1"/>
    <col min="13" max="13" width="9" customWidth="1"/>
    <col min="14" max="27" width="8.7109375" customWidth="1"/>
  </cols>
  <sheetData>
    <row r="1" spans="1:27" ht="14.25" customHeight="1">
      <c r="A1" s="1" t="s">
        <v>0</v>
      </c>
      <c r="B1" s="2" t="s">
        <v>1</v>
      </c>
      <c r="C1" s="2" t="s">
        <v>2</v>
      </c>
      <c r="D1" s="2" t="s">
        <v>3</v>
      </c>
      <c r="E1" s="2" t="s">
        <v>4</v>
      </c>
      <c r="F1" s="2" t="s">
        <v>5</v>
      </c>
      <c r="G1" s="2" t="s">
        <v>6</v>
      </c>
      <c r="H1" s="2" t="s">
        <v>7</v>
      </c>
      <c r="I1" s="2" t="s">
        <v>8</v>
      </c>
      <c r="J1" s="2" t="s">
        <v>9</v>
      </c>
      <c r="K1" s="2" t="s">
        <v>10</v>
      </c>
      <c r="L1" s="2" t="s">
        <v>11</v>
      </c>
      <c r="M1" s="2" t="s">
        <v>12</v>
      </c>
      <c r="N1" s="3"/>
      <c r="O1" s="3"/>
      <c r="P1" s="3"/>
      <c r="Q1" s="3"/>
      <c r="R1" s="3"/>
      <c r="S1" s="3"/>
      <c r="T1" s="3"/>
      <c r="U1" s="3"/>
      <c r="V1" s="3"/>
      <c r="W1" s="3"/>
      <c r="X1" s="3"/>
      <c r="Y1" s="3"/>
      <c r="Z1" s="3"/>
      <c r="AA1" s="3"/>
    </row>
    <row r="2" spans="1:27" ht="14.25" customHeight="1">
      <c r="A2" s="3">
        <v>3</v>
      </c>
      <c r="B2" s="4">
        <v>552123</v>
      </c>
      <c r="C2" s="21">
        <v>44110</v>
      </c>
      <c r="D2" s="5">
        <v>44601</v>
      </c>
      <c r="E2" s="5" t="s">
        <v>13</v>
      </c>
      <c r="F2" s="3"/>
      <c r="G2" s="3" t="s">
        <v>14</v>
      </c>
      <c r="H2" s="3" t="s">
        <v>15</v>
      </c>
      <c r="I2" s="6" t="s">
        <v>16</v>
      </c>
      <c r="J2" s="7" t="s">
        <v>17</v>
      </c>
      <c r="K2" s="7" t="s">
        <v>18</v>
      </c>
      <c r="L2" s="3"/>
      <c r="M2" s="3"/>
      <c r="N2" s="3"/>
      <c r="O2" s="3"/>
      <c r="P2" s="3"/>
      <c r="Q2" s="3"/>
      <c r="R2" s="3"/>
      <c r="S2" s="3"/>
      <c r="T2" s="3"/>
      <c r="U2" s="3"/>
      <c r="V2" s="3"/>
      <c r="W2" s="3"/>
      <c r="X2" s="3"/>
      <c r="Y2" s="3"/>
      <c r="Z2" s="3"/>
      <c r="AA2" s="3"/>
    </row>
    <row r="3" spans="1:27" ht="14.25" customHeight="1">
      <c r="A3" s="3">
        <v>4</v>
      </c>
      <c r="B3" s="3">
        <v>516639</v>
      </c>
      <c r="C3" s="21">
        <v>44489</v>
      </c>
      <c r="D3" s="3" t="s">
        <v>19</v>
      </c>
      <c r="E3" s="3" t="s">
        <v>13</v>
      </c>
      <c r="F3" s="3"/>
      <c r="G3" s="3" t="s">
        <v>20</v>
      </c>
      <c r="H3" s="3"/>
      <c r="I3" s="8" t="s">
        <v>21</v>
      </c>
      <c r="J3" s="7" t="s">
        <v>22</v>
      </c>
      <c r="K3" s="7"/>
      <c r="L3" s="3"/>
      <c r="M3" s="3"/>
      <c r="N3" s="3"/>
      <c r="O3" s="3"/>
      <c r="P3" s="3"/>
      <c r="Q3" s="3"/>
      <c r="R3" s="3"/>
      <c r="S3" s="3"/>
      <c r="T3" s="3"/>
      <c r="U3" s="3"/>
      <c r="V3" s="3"/>
      <c r="W3" s="3"/>
      <c r="X3" s="3"/>
      <c r="Y3" s="3"/>
      <c r="Z3" s="3"/>
      <c r="AA3" s="3"/>
    </row>
    <row r="4" spans="1:27" ht="14.25" customHeight="1">
      <c r="A4" s="3">
        <v>5</v>
      </c>
      <c r="B4" s="9">
        <v>462848</v>
      </c>
      <c r="C4" s="21">
        <v>44411</v>
      </c>
      <c r="D4" s="5">
        <v>44627</v>
      </c>
      <c r="E4" s="9" t="s">
        <v>13</v>
      </c>
      <c r="F4" s="9"/>
      <c r="G4" s="3" t="s">
        <v>23</v>
      </c>
      <c r="H4" s="3"/>
      <c r="I4" s="10" t="s">
        <v>24</v>
      </c>
      <c r="J4" s="7" t="s">
        <v>25</v>
      </c>
      <c r="K4" s="7"/>
      <c r="L4" s="3"/>
      <c r="M4" s="3"/>
      <c r="N4" s="3"/>
      <c r="O4" s="3"/>
      <c r="P4" s="3"/>
      <c r="Q4" s="3"/>
      <c r="R4" s="3"/>
      <c r="S4" s="3"/>
      <c r="T4" s="3"/>
      <c r="U4" s="3"/>
      <c r="V4" s="3"/>
      <c r="W4" s="3"/>
      <c r="X4" s="3"/>
      <c r="Y4" s="3"/>
      <c r="Z4" s="3"/>
      <c r="AA4" s="3"/>
    </row>
    <row r="5" spans="1:27" ht="14.25" customHeight="1">
      <c r="A5" s="3">
        <v>6</v>
      </c>
      <c r="B5" s="3">
        <v>205276</v>
      </c>
      <c r="C5" s="21">
        <v>43751</v>
      </c>
      <c r="D5" s="5">
        <v>44658</v>
      </c>
      <c r="E5" s="3" t="s">
        <v>13</v>
      </c>
      <c r="F5" s="3"/>
      <c r="G5" s="3" t="s">
        <v>20</v>
      </c>
      <c r="H5" s="3"/>
      <c r="I5" s="8" t="s">
        <v>21</v>
      </c>
      <c r="J5" s="7" t="s">
        <v>26</v>
      </c>
      <c r="K5" s="7"/>
      <c r="L5" s="3"/>
      <c r="M5" s="3"/>
      <c r="N5" s="3"/>
      <c r="O5" s="3"/>
      <c r="P5" s="3"/>
      <c r="Q5" s="3"/>
      <c r="R5" s="3"/>
      <c r="S5" s="3"/>
      <c r="T5" s="3"/>
      <c r="U5" s="3"/>
      <c r="V5" s="3"/>
      <c r="W5" s="3"/>
      <c r="X5" s="3"/>
      <c r="Y5" s="3"/>
      <c r="Z5" s="3"/>
      <c r="AA5" s="3"/>
    </row>
    <row r="6" spans="1:27" ht="14.25" customHeight="1">
      <c r="A6" s="3">
        <v>7</v>
      </c>
      <c r="B6" s="3">
        <v>515030</v>
      </c>
      <c r="C6" s="21">
        <v>44395</v>
      </c>
      <c r="D6" s="5">
        <v>44660</v>
      </c>
      <c r="E6" s="3" t="s">
        <v>13</v>
      </c>
      <c r="F6" s="3"/>
      <c r="G6" s="3" t="s">
        <v>27</v>
      </c>
      <c r="H6" s="3"/>
      <c r="I6" s="20" t="s">
        <v>28</v>
      </c>
      <c r="J6" s="7" t="s">
        <v>29</v>
      </c>
      <c r="K6" s="7"/>
      <c r="L6" s="3"/>
      <c r="M6" s="3"/>
      <c r="N6" s="3"/>
      <c r="O6" s="3"/>
      <c r="P6" s="3"/>
      <c r="Q6" s="3"/>
      <c r="R6" s="3"/>
      <c r="S6" s="3"/>
      <c r="T6" s="3"/>
      <c r="U6" s="3"/>
      <c r="V6" s="3"/>
      <c r="W6" s="3"/>
      <c r="X6" s="3"/>
      <c r="Y6" s="3"/>
      <c r="Z6" s="3"/>
      <c r="AA6" s="3"/>
    </row>
    <row r="7" spans="1:27" ht="14.25" customHeight="1">
      <c r="A7" s="3">
        <v>8</v>
      </c>
      <c r="B7" s="3">
        <v>5510</v>
      </c>
      <c r="C7" s="3" t="s">
        <v>30</v>
      </c>
      <c r="D7" s="5">
        <v>44691</v>
      </c>
      <c r="E7" s="3" t="s">
        <v>13</v>
      </c>
      <c r="F7" s="3"/>
      <c r="G7" s="3" t="s">
        <v>31</v>
      </c>
      <c r="H7" s="3"/>
      <c r="I7" s="11" t="s">
        <v>32</v>
      </c>
      <c r="J7" s="7" t="s">
        <v>33</v>
      </c>
      <c r="K7" s="7">
        <v>66613000059</v>
      </c>
      <c r="L7" s="3"/>
      <c r="M7" s="3"/>
      <c r="N7" s="3"/>
      <c r="O7" s="3"/>
      <c r="P7" s="3"/>
      <c r="Q7" s="3"/>
      <c r="R7" s="3"/>
      <c r="S7" s="3"/>
      <c r="T7" s="3"/>
      <c r="U7" s="3"/>
      <c r="V7" s="3"/>
      <c r="W7" s="3"/>
      <c r="X7" s="3"/>
      <c r="Y7" s="3"/>
      <c r="Z7" s="3"/>
      <c r="AA7" s="3"/>
    </row>
    <row r="8" spans="1:27" ht="14.25" customHeight="1">
      <c r="A8" s="3">
        <v>9</v>
      </c>
      <c r="B8" s="3">
        <v>516934</v>
      </c>
      <c r="C8" s="21">
        <v>44490</v>
      </c>
      <c r="D8" s="12">
        <v>44809</v>
      </c>
      <c r="E8" s="3" t="s">
        <v>13</v>
      </c>
      <c r="F8" s="13"/>
      <c r="G8" s="13" t="s">
        <v>34</v>
      </c>
      <c r="H8" s="3"/>
      <c r="I8" s="14" t="s">
        <v>35</v>
      </c>
      <c r="J8" s="3" t="s">
        <v>36</v>
      </c>
      <c r="K8" s="3"/>
      <c r="L8" s="3"/>
      <c r="M8" s="3"/>
      <c r="N8" s="3"/>
      <c r="O8" s="3"/>
      <c r="P8" s="3"/>
      <c r="Q8" s="3"/>
      <c r="R8" s="3"/>
      <c r="S8" s="3"/>
      <c r="T8" s="3"/>
      <c r="U8" s="3"/>
      <c r="V8" s="3"/>
      <c r="W8" s="3"/>
      <c r="X8" s="3"/>
      <c r="Y8" s="3"/>
      <c r="Z8" s="3"/>
      <c r="AA8" s="3"/>
    </row>
    <row r="9" spans="1:27" ht="14.25" customHeight="1">
      <c r="A9" s="3">
        <v>10</v>
      </c>
      <c r="B9" s="3">
        <v>552173</v>
      </c>
      <c r="C9" s="21">
        <v>44110</v>
      </c>
      <c r="D9" s="3" t="s">
        <v>37</v>
      </c>
      <c r="E9" s="3" t="s">
        <v>13</v>
      </c>
      <c r="F9" s="3"/>
      <c r="G9" s="3" t="s">
        <v>38</v>
      </c>
      <c r="H9" s="3"/>
      <c r="I9" s="3" t="s">
        <v>39</v>
      </c>
      <c r="J9" s="3" t="s">
        <v>40</v>
      </c>
      <c r="K9" s="3" t="s">
        <v>41</v>
      </c>
      <c r="L9" s="3"/>
      <c r="M9" s="3"/>
      <c r="N9" s="3"/>
      <c r="O9" s="3"/>
      <c r="P9" s="3"/>
      <c r="Q9" s="3"/>
      <c r="R9" s="3"/>
      <c r="S9" s="3"/>
      <c r="T9" s="3"/>
      <c r="U9" s="3"/>
      <c r="V9" s="3"/>
      <c r="W9" s="3"/>
      <c r="X9" s="3"/>
      <c r="Y9" s="3"/>
      <c r="Z9" s="3"/>
      <c r="AA9" s="3"/>
    </row>
    <row r="10" spans="1:27" ht="14.25" customHeight="1">
      <c r="A10" s="3">
        <v>11</v>
      </c>
      <c r="B10" s="3">
        <v>514628</v>
      </c>
      <c r="C10" s="21">
        <v>44474</v>
      </c>
      <c r="D10" s="5">
        <v>44714</v>
      </c>
      <c r="E10" s="3" t="s">
        <v>13</v>
      </c>
      <c r="F10" s="3"/>
      <c r="G10" s="3" t="s">
        <v>42</v>
      </c>
      <c r="H10" s="3"/>
      <c r="I10" s="3" t="s">
        <v>43</v>
      </c>
      <c r="J10" s="3" t="s">
        <v>44</v>
      </c>
      <c r="K10" s="3" t="s">
        <v>45</v>
      </c>
      <c r="L10" s="3"/>
      <c r="M10" s="3"/>
      <c r="N10" s="3"/>
      <c r="O10" s="3"/>
      <c r="P10" s="3"/>
      <c r="Q10" s="3"/>
      <c r="R10" s="3"/>
      <c r="S10" s="3"/>
      <c r="T10" s="3"/>
      <c r="U10" s="3"/>
      <c r="V10" s="3"/>
      <c r="W10" s="3"/>
      <c r="X10" s="3"/>
      <c r="Y10" s="3"/>
      <c r="Z10" s="3"/>
      <c r="AA10" s="3"/>
    </row>
    <row r="11" spans="1:27" ht="14.25" customHeight="1">
      <c r="A11" s="3">
        <v>12</v>
      </c>
      <c r="B11" s="3">
        <v>488173</v>
      </c>
      <c r="C11" s="21">
        <v>44439</v>
      </c>
      <c r="D11" s="5">
        <v>44718</v>
      </c>
      <c r="E11" s="3" t="s">
        <v>13</v>
      </c>
      <c r="F11" s="3"/>
      <c r="G11" s="3" t="s">
        <v>46</v>
      </c>
      <c r="H11" s="3"/>
      <c r="I11" s="3" t="s">
        <v>47</v>
      </c>
      <c r="J11" s="3" t="s">
        <v>48</v>
      </c>
      <c r="K11" s="3"/>
      <c r="L11" s="3"/>
      <c r="M11" s="3"/>
      <c r="N11" s="3"/>
      <c r="O11" s="3"/>
      <c r="P11" s="3"/>
      <c r="Q11" s="3"/>
      <c r="R11" s="3"/>
      <c r="S11" s="3"/>
      <c r="T11" s="3"/>
      <c r="U11" s="3"/>
      <c r="V11" s="3"/>
      <c r="W11" s="3"/>
      <c r="X11" s="3"/>
      <c r="Y11" s="3"/>
      <c r="Z11" s="3"/>
      <c r="AA11" s="3"/>
    </row>
    <row r="12" spans="1:27" ht="14.25" customHeight="1">
      <c r="A12" s="15" t="s">
        <v>49</v>
      </c>
      <c r="B12" s="15"/>
      <c r="C12" s="15"/>
      <c r="D12" s="16"/>
      <c r="E12" s="15"/>
      <c r="F12" s="15"/>
      <c r="G12" s="15"/>
      <c r="H12" s="15"/>
      <c r="I12" s="15"/>
      <c r="J12" s="15"/>
      <c r="K12" s="15"/>
      <c r="L12" s="15"/>
      <c r="M12" s="15"/>
      <c r="N12" s="15"/>
      <c r="O12" s="15"/>
      <c r="P12" s="15"/>
      <c r="Q12" s="15"/>
      <c r="R12" s="15"/>
      <c r="S12" s="15"/>
      <c r="T12" s="15"/>
      <c r="U12" s="15"/>
      <c r="V12" s="15"/>
      <c r="W12" s="15"/>
      <c r="X12" s="15"/>
      <c r="Y12" s="15"/>
      <c r="Z12" s="15"/>
      <c r="AA12" s="15"/>
    </row>
    <row r="13" spans="1:27" ht="14.25" customHeight="1">
      <c r="A13" s="3">
        <v>13</v>
      </c>
      <c r="B13" s="3">
        <v>514444</v>
      </c>
      <c r="C13" s="21">
        <v>44474</v>
      </c>
      <c r="D13" s="12">
        <v>44811</v>
      </c>
      <c r="E13" s="3" t="s">
        <v>13</v>
      </c>
      <c r="F13" s="3"/>
      <c r="G13" s="3" t="s">
        <v>50</v>
      </c>
      <c r="H13" s="3"/>
      <c r="I13" s="3" t="s">
        <v>51</v>
      </c>
      <c r="J13" s="3" t="s">
        <v>52</v>
      </c>
      <c r="K13" s="3" t="s">
        <v>53</v>
      </c>
      <c r="L13" s="3"/>
      <c r="M13" s="3"/>
      <c r="N13" s="3"/>
      <c r="O13" s="3"/>
      <c r="P13" s="3"/>
      <c r="Q13" s="3"/>
      <c r="R13" s="3"/>
      <c r="S13" s="3"/>
      <c r="T13" s="3"/>
      <c r="U13" s="3"/>
      <c r="V13" s="3"/>
      <c r="W13" s="3"/>
      <c r="X13" s="3"/>
      <c r="Y13" s="3"/>
      <c r="Z13" s="3"/>
      <c r="AA13" s="3"/>
    </row>
    <row r="14" spans="1:27" ht="14.25" customHeight="1">
      <c r="A14" s="3">
        <v>14</v>
      </c>
      <c r="B14" s="3">
        <v>462797</v>
      </c>
      <c r="C14" s="21">
        <v>44410</v>
      </c>
      <c r="D14" s="3" t="s">
        <v>54</v>
      </c>
      <c r="E14" s="3" t="s">
        <v>13</v>
      </c>
      <c r="F14" s="3"/>
      <c r="G14" s="3" t="s">
        <v>23</v>
      </c>
      <c r="H14" s="3" t="s">
        <v>55</v>
      </c>
      <c r="I14" s="3" t="s">
        <v>56</v>
      </c>
      <c r="J14" s="3"/>
      <c r="K14" s="3"/>
      <c r="L14" s="3"/>
      <c r="M14" s="3"/>
      <c r="N14" s="3"/>
      <c r="O14" s="3"/>
      <c r="P14" s="3"/>
      <c r="Q14" s="3"/>
      <c r="R14" s="3"/>
      <c r="S14" s="3"/>
      <c r="T14" s="3"/>
      <c r="U14" s="3"/>
      <c r="V14" s="3"/>
      <c r="W14" s="3"/>
      <c r="X14" s="3"/>
      <c r="Y14" s="3"/>
      <c r="Z14" s="3"/>
      <c r="AA14" s="3"/>
    </row>
    <row r="15" spans="1:27" ht="14.25" customHeight="1">
      <c r="A15" s="3">
        <v>15</v>
      </c>
      <c r="B15" s="3">
        <v>466633</v>
      </c>
      <c r="C15" s="21">
        <v>44388</v>
      </c>
      <c r="D15" s="3" t="s">
        <v>57</v>
      </c>
      <c r="E15" s="3" t="s">
        <v>13</v>
      </c>
      <c r="F15" s="3"/>
      <c r="G15" s="3" t="s">
        <v>58</v>
      </c>
      <c r="H15" s="3"/>
      <c r="I15" s="3" t="s">
        <v>59</v>
      </c>
      <c r="J15" s="3" t="s">
        <v>60</v>
      </c>
      <c r="K15" s="3">
        <v>66613106034</v>
      </c>
      <c r="L15" s="3"/>
      <c r="M15" s="3"/>
      <c r="N15" s="3"/>
      <c r="O15" s="3"/>
      <c r="P15" s="3"/>
      <c r="Q15" s="3"/>
      <c r="R15" s="3"/>
      <c r="S15" s="3"/>
      <c r="T15" s="3"/>
      <c r="U15" s="3"/>
      <c r="V15" s="3"/>
      <c r="W15" s="3"/>
      <c r="X15" s="3"/>
      <c r="Y15" s="3"/>
      <c r="Z15" s="3"/>
      <c r="AA15" s="3"/>
    </row>
    <row r="16" spans="1:27" ht="14.25" customHeight="1">
      <c r="A16" s="3">
        <v>16</v>
      </c>
      <c r="B16" s="3">
        <v>493044</v>
      </c>
      <c r="C16" s="21">
        <v>44489</v>
      </c>
      <c r="D16" s="12">
        <v>44628</v>
      </c>
      <c r="E16" s="3" t="s">
        <v>13</v>
      </c>
      <c r="F16" s="3"/>
      <c r="G16" s="3" t="s">
        <v>61</v>
      </c>
      <c r="H16" s="3" t="s">
        <v>62</v>
      </c>
      <c r="I16" s="3" t="s">
        <v>63</v>
      </c>
      <c r="J16" s="3" t="s">
        <v>64</v>
      </c>
      <c r="K16" s="3"/>
      <c r="L16" s="3"/>
      <c r="M16" s="3"/>
      <c r="N16" s="3"/>
      <c r="O16" s="3"/>
      <c r="P16" s="3"/>
      <c r="Q16" s="3"/>
      <c r="R16" s="3"/>
      <c r="S16" s="3"/>
      <c r="T16" s="3"/>
      <c r="U16" s="3"/>
      <c r="V16" s="3"/>
      <c r="W16" s="3"/>
      <c r="X16" s="3"/>
      <c r="Y16" s="3"/>
      <c r="Z16" s="3"/>
      <c r="AA16" s="3"/>
    </row>
    <row r="17" spans="1:27" ht="14.25" customHeight="1">
      <c r="A17" s="3">
        <v>17</v>
      </c>
      <c r="B17" s="3">
        <v>590353</v>
      </c>
      <c r="C17" s="21">
        <v>44425</v>
      </c>
      <c r="D17" s="12">
        <v>44781</v>
      </c>
      <c r="E17" s="3" t="s">
        <v>13</v>
      </c>
      <c r="F17" s="3"/>
      <c r="G17" s="3" t="s">
        <v>65</v>
      </c>
      <c r="H17" s="3"/>
      <c r="I17" s="3" t="s">
        <v>66</v>
      </c>
      <c r="J17" s="3" t="s">
        <v>67</v>
      </c>
      <c r="K17" s="3" t="s">
        <v>68</v>
      </c>
      <c r="L17" s="3"/>
      <c r="M17" s="3"/>
      <c r="N17" s="3"/>
      <c r="O17" s="3"/>
      <c r="P17" s="3"/>
      <c r="Q17" s="3"/>
      <c r="R17" s="3"/>
      <c r="S17" s="3"/>
      <c r="T17" s="3"/>
      <c r="U17" s="3"/>
      <c r="V17" s="3"/>
      <c r="W17" s="3"/>
      <c r="X17" s="3"/>
      <c r="Y17" s="3"/>
      <c r="Z17" s="3"/>
      <c r="AA17" s="3"/>
    </row>
    <row r="18" spans="1:27" ht="14.25" customHeight="1">
      <c r="A18" s="3">
        <v>18</v>
      </c>
      <c r="B18" s="3">
        <v>522942</v>
      </c>
      <c r="C18" s="21">
        <v>44797</v>
      </c>
      <c r="D18" s="12">
        <v>44721</v>
      </c>
      <c r="E18" s="17">
        <v>44806</v>
      </c>
      <c r="F18" s="3" t="s">
        <v>69</v>
      </c>
      <c r="G18" s="3" t="s">
        <v>70</v>
      </c>
      <c r="H18" s="3" t="s">
        <v>71</v>
      </c>
      <c r="I18" s="3" t="s">
        <v>72</v>
      </c>
      <c r="J18" s="3" t="s">
        <v>73</v>
      </c>
      <c r="K18" s="3"/>
      <c r="L18" s="3"/>
      <c r="M18" s="3"/>
      <c r="N18" s="3"/>
      <c r="O18" s="3"/>
      <c r="P18" s="3"/>
      <c r="Q18" s="3"/>
      <c r="R18" s="3"/>
      <c r="S18" s="3"/>
      <c r="T18" s="3"/>
      <c r="U18" s="3"/>
      <c r="V18" s="3"/>
      <c r="W18" s="3"/>
      <c r="X18" s="3"/>
      <c r="Y18" s="3"/>
      <c r="Z18" s="3"/>
      <c r="AA18" s="3"/>
    </row>
    <row r="19" spans="1:27" ht="14.25" customHeight="1">
      <c r="A19" s="3">
        <v>19</v>
      </c>
      <c r="B19" s="3">
        <v>510294</v>
      </c>
      <c r="C19" s="21">
        <v>44796</v>
      </c>
      <c r="D19" s="3" t="s">
        <v>74</v>
      </c>
      <c r="E19" s="3" t="s">
        <v>13</v>
      </c>
      <c r="F19" s="3"/>
      <c r="G19" s="3" t="s">
        <v>75</v>
      </c>
      <c r="H19" s="3"/>
      <c r="I19" s="3" t="s">
        <v>76</v>
      </c>
      <c r="J19" s="3" t="s">
        <v>77</v>
      </c>
      <c r="K19" s="3"/>
      <c r="L19" s="3"/>
      <c r="M19" s="3"/>
      <c r="N19" s="3"/>
      <c r="O19" s="3"/>
      <c r="P19" s="3"/>
      <c r="Q19" s="3"/>
      <c r="R19" s="3"/>
      <c r="S19" s="3"/>
      <c r="T19" s="3"/>
      <c r="U19" s="3"/>
      <c r="V19" s="3"/>
      <c r="W19" s="3"/>
      <c r="X19" s="3"/>
      <c r="Y19" s="3"/>
      <c r="Z19" s="3"/>
      <c r="AA19" s="3"/>
    </row>
    <row r="20" spans="1:27" ht="14.25" customHeight="1">
      <c r="A20" s="3">
        <v>20</v>
      </c>
      <c r="B20" s="3">
        <v>496511</v>
      </c>
      <c r="C20" s="21">
        <v>44732</v>
      </c>
      <c r="D20" s="3" t="s">
        <v>78</v>
      </c>
      <c r="E20" s="3" t="s">
        <v>13</v>
      </c>
      <c r="F20" s="3"/>
      <c r="G20" s="3" t="s">
        <v>79</v>
      </c>
      <c r="H20" s="3"/>
      <c r="I20" s="3" t="s">
        <v>80</v>
      </c>
      <c r="J20" s="3" t="s">
        <v>81</v>
      </c>
      <c r="K20" s="3"/>
      <c r="L20" s="3"/>
      <c r="M20" s="3"/>
      <c r="N20" s="3"/>
      <c r="O20" s="3"/>
      <c r="P20" s="3"/>
      <c r="Q20" s="3"/>
      <c r="R20" s="3"/>
      <c r="S20" s="3"/>
      <c r="T20" s="3"/>
      <c r="U20" s="3"/>
      <c r="V20" s="3"/>
      <c r="W20" s="3"/>
      <c r="X20" s="3"/>
      <c r="Y20" s="3"/>
      <c r="Z20" s="3"/>
      <c r="AA20" s="3"/>
    </row>
    <row r="21" spans="1:27">
      <c r="A21" s="3">
        <v>21</v>
      </c>
      <c r="B21" s="3">
        <v>514646</v>
      </c>
      <c r="C21" s="21">
        <v>44474</v>
      </c>
      <c r="D21" s="18">
        <v>44631</v>
      </c>
      <c r="E21" s="3" t="s">
        <v>13</v>
      </c>
      <c r="F21" s="3"/>
      <c r="G21" s="3" t="s">
        <v>82</v>
      </c>
      <c r="H21" s="3" t="s">
        <v>83</v>
      </c>
      <c r="I21" s="3" t="s">
        <v>84</v>
      </c>
      <c r="J21" s="3" t="s">
        <v>85</v>
      </c>
      <c r="K21" s="3"/>
      <c r="L21" s="3"/>
      <c r="M21" s="3"/>
      <c r="N21" s="3"/>
      <c r="O21" s="3"/>
      <c r="P21" s="3"/>
      <c r="Q21" s="3"/>
      <c r="R21" s="3"/>
      <c r="S21" s="3"/>
      <c r="T21" s="3"/>
      <c r="U21" s="3"/>
      <c r="V21" s="3"/>
      <c r="W21" s="3"/>
      <c r="X21" s="3"/>
      <c r="Y21" s="3"/>
      <c r="Z21" s="3"/>
      <c r="AA21" s="3"/>
    </row>
    <row r="22" spans="1:27" ht="14.25" customHeight="1">
      <c r="A22" s="3">
        <v>22</v>
      </c>
      <c r="B22" s="3">
        <v>554801</v>
      </c>
      <c r="C22" s="21">
        <v>44115</v>
      </c>
      <c r="D22" s="18">
        <v>44753</v>
      </c>
      <c r="E22" s="3" t="s">
        <v>13</v>
      </c>
      <c r="F22" s="3"/>
      <c r="G22" s="3" t="s">
        <v>79</v>
      </c>
      <c r="H22" s="3"/>
      <c r="I22" s="3" t="s">
        <v>86</v>
      </c>
      <c r="J22" s="3" t="s">
        <v>87</v>
      </c>
      <c r="K22" s="3"/>
      <c r="L22" s="3"/>
      <c r="M22" s="3"/>
      <c r="N22" s="3"/>
      <c r="O22" s="3"/>
      <c r="P22" s="3"/>
      <c r="Q22" s="3"/>
      <c r="R22" s="3"/>
      <c r="S22" s="3"/>
      <c r="T22" s="3"/>
      <c r="U22" s="3"/>
      <c r="V22" s="3"/>
      <c r="W22" s="3"/>
      <c r="X22" s="3"/>
      <c r="Y22" s="3"/>
      <c r="Z22" s="3"/>
      <c r="AA22" s="3"/>
    </row>
    <row r="23" spans="1:27"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spans="1:27" ht="14.25" customHeight="1">
      <c r="A24" s="3" t="s">
        <v>88</v>
      </c>
      <c r="B24" s="3"/>
      <c r="C24" s="3"/>
      <c r="D24" s="3"/>
      <c r="E24" s="3"/>
      <c r="F24" s="3"/>
      <c r="G24" s="3"/>
      <c r="H24" s="3"/>
      <c r="I24" s="3"/>
      <c r="J24" s="3"/>
      <c r="K24" s="3"/>
      <c r="L24" s="3"/>
      <c r="M24" s="3"/>
      <c r="N24" s="3"/>
      <c r="O24" s="3"/>
      <c r="P24" s="3"/>
      <c r="Q24" s="3"/>
      <c r="R24" s="3"/>
      <c r="S24" s="3"/>
      <c r="T24" s="3"/>
      <c r="U24" s="3"/>
      <c r="V24" s="3"/>
      <c r="W24" s="3"/>
      <c r="X24" s="3"/>
      <c r="Y24" s="3"/>
      <c r="Z24" s="3"/>
      <c r="AA24" s="3"/>
    </row>
    <row r="25" spans="1:27" ht="14.25" customHeight="1">
      <c r="A25" s="3">
        <v>522800</v>
      </c>
      <c r="B25" s="19">
        <v>44789</v>
      </c>
      <c r="C25" s="19"/>
      <c r="D25" s="3">
        <v>-66.455216669999999</v>
      </c>
      <c r="E25" s="3">
        <v>43.325733329999998</v>
      </c>
      <c r="F25" s="3" t="s">
        <v>89</v>
      </c>
      <c r="G25" s="3"/>
      <c r="H25" s="3"/>
      <c r="I25" s="3"/>
      <c r="J25" s="3"/>
      <c r="K25" s="3"/>
      <c r="L25" s="3"/>
      <c r="M25" s="3"/>
      <c r="N25" s="3"/>
      <c r="O25" s="3"/>
      <c r="P25" s="3"/>
      <c r="Q25" s="3"/>
      <c r="R25" s="3"/>
      <c r="S25" s="3"/>
      <c r="T25" s="3"/>
      <c r="U25" s="3"/>
      <c r="V25" s="3"/>
      <c r="W25" s="3"/>
      <c r="X25" s="3"/>
      <c r="Y25" s="3"/>
      <c r="Z25" s="3"/>
      <c r="AA25" s="3"/>
    </row>
    <row r="26" spans="1:27"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spans="1:27" ht="14.25" customHeight="1">
      <c r="A27" s="3"/>
      <c r="B27" s="3">
        <f>435/23080*100</f>
        <v>1.8847487001733103</v>
      </c>
      <c r="C27" s="3"/>
      <c r="D27" s="3"/>
      <c r="E27" s="3"/>
      <c r="F27" s="3"/>
      <c r="G27" s="3"/>
      <c r="H27" s="3"/>
      <c r="I27" s="3"/>
      <c r="J27" s="3"/>
      <c r="K27" s="3"/>
      <c r="L27" s="3"/>
      <c r="M27" s="3"/>
      <c r="N27" s="3"/>
      <c r="O27" s="3"/>
      <c r="P27" s="3"/>
      <c r="Q27" s="3"/>
      <c r="R27" s="3"/>
      <c r="S27" s="3"/>
      <c r="T27" s="3"/>
      <c r="U27" s="3"/>
      <c r="V27" s="3"/>
      <c r="W27" s="3"/>
      <c r="X27" s="3"/>
      <c r="Y27" s="3"/>
      <c r="Z27" s="3"/>
      <c r="AA27" s="3"/>
    </row>
    <row r="28" spans="1:27" ht="14.25" customHeight="1">
      <c r="A28" s="3"/>
      <c r="B28" s="3">
        <f>19+20+93+235+68</f>
        <v>435</v>
      </c>
      <c r="C28" s="3"/>
      <c r="D28" s="3"/>
      <c r="E28" s="3"/>
      <c r="F28" s="3"/>
      <c r="G28" s="3"/>
      <c r="H28" s="3"/>
      <c r="I28" s="3"/>
      <c r="J28" s="3"/>
      <c r="K28" s="3"/>
      <c r="L28" s="3"/>
      <c r="M28" s="3"/>
      <c r="N28" s="3"/>
      <c r="O28" s="3"/>
      <c r="P28" s="3"/>
      <c r="Q28" s="3"/>
      <c r="R28" s="3"/>
      <c r="S28" s="3"/>
      <c r="T28" s="3"/>
      <c r="U28" s="3"/>
      <c r="V28" s="3"/>
      <c r="W28" s="3"/>
      <c r="X28" s="3"/>
      <c r="Y28" s="3"/>
      <c r="Z28" s="3"/>
      <c r="AA28" s="3"/>
    </row>
    <row r="29" spans="1:27"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spans="1:27"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spans="1:27"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spans="1:27"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spans="1:27"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sheetData>
  <pageMargins left="0.7" right="0.7" top="0.75" bottom="0.75" header="0" footer="0"/>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a15ca5b-4450-4fec-8212-75ae51eef6c9">
      <Terms xmlns="http://schemas.microsoft.com/office/infopath/2007/PartnerControls"/>
    </lcf76f155ced4ddcb4097134ff3c332f>
    <TaxCatchAll xmlns="9b77705d-b477-4602-ae15-a5316c12e63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D11C961C81B704A857A44625345A9FE" ma:contentTypeVersion="15" ma:contentTypeDescription="Create a new document." ma:contentTypeScope="" ma:versionID="498d613dcec89e8160a74b81db9b4631">
  <xsd:schema xmlns:xsd="http://www.w3.org/2001/XMLSchema" xmlns:xs="http://www.w3.org/2001/XMLSchema" xmlns:p="http://schemas.microsoft.com/office/2006/metadata/properties" xmlns:ns2="aa15ca5b-4450-4fec-8212-75ae51eef6c9" xmlns:ns3="9b77705d-b477-4602-ae15-a5316c12e631" targetNamespace="http://schemas.microsoft.com/office/2006/metadata/properties" ma:root="true" ma:fieldsID="3c81ab8f9ccdfa42d95947614c9fab7e" ns2:_="" ns3:_="">
    <xsd:import namespace="aa15ca5b-4450-4fec-8212-75ae51eef6c9"/>
    <xsd:import namespace="9b77705d-b477-4602-ae15-a5316c12e63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15ca5b-4450-4fec-8212-75ae51eef6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Location" ma:index="11" nillable="true" ma:displayName="Location" ma:indexed="true" ma:internalName="MediaServiceLocatio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2054c4b-04cf-4504-9cda-34f00fd6eb9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77705d-b477-4602-ae15-a5316c12e63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ed0f19d-7621-4d93-978e-27301a7c8d90}" ma:internalName="TaxCatchAll" ma:showField="CatchAllData" ma:web="9b77705d-b477-4602-ae15-a5316c12e631">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8FFA5EC-FF77-495B-B8E5-E2EF3011C5DE}"/>
</file>

<file path=customXml/itemProps2.xml><?xml version="1.0" encoding="utf-8"?>
<ds:datastoreItem xmlns:ds="http://schemas.openxmlformats.org/officeDocument/2006/customXml" ds:itemID="{B2D30681-F528-45B3-AC59-41EDB162AB69}"/>
</file>

<file path=customXml/itemProps3.xml><?xml version="1.0" encoding="utf-8"?>
<ds:datastoreItem xmlns:ds="http://schemas.openxmlformats.org/officeDocument/2006/customXml" ds:itemID="{05B80BA5-7619-479A-8EAE-719382B397E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Herring Science</dc:creator>
  <cp:keywords/>
  <dc:description/>
  <cp:lastModifiedBy>Tracey Leask</cp:lastModifiedBy>
  <cp:revision/>
  <dcterms:created xsi:type="dcterms:W3CDTF">2017-02-02T13:54:29Z</dcterms:created>
  <dcterms:modified xsi:type="dcterms:W3CDTF">2024-03-18T13:13:03Z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0x010100BD11C961C81B704A857A44625345A9FE</vt:lpwstr>
  </property>
  <property fmtid="{D5CDD505-2E9C-101B-9397-08002B2CF9AE}" pid="3" name="MediaServiceImageTags">
    <vt:lpwstr/>
  </property>
</Properties>
</file>