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Website/2024 Returns/"/>
    </mc:Choice>
  </mc:AlternateContent>
  <xr:revisionPtr revIDLastSave="325" documentId="8_{2C04C1C9-0A02-4BA0-81AE-56CD96041311}" xr6:coauthVersionLast="47" xr6:coauthVersionMax="47" xr10:uidLastSave="{9120BFCB-5DC4-496D-9DC9-542F2656F23A}"/>
  <bookViews>
    <workbookView minimized="1" xWindow="-38200" yWindow="-13440" windowWidth="28800" windowHeight="154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16" i="1"/>
</calcChain>
</file>

<file path=xl/sharedStrings.xml><?xml version="1.0" encoding="utf-8"?>
<sst xmlns="http://schemas.openxmlformats.org/spreadsheetml/2006/main" count="162" uniqueCount="130">
  <si>
    <t>ID</t>
  </si>
  <si>
    <t>Tag_Number</t>
  </si>
  <si>
    <t>Date_Entered</t>
  </si>
  <si>
    <t>Tagged_Date</t>
  </si>
  <si>
    <t>Return_Date</t>
  </si>
  <si>
    <t>Days_at_Large</t>
  </si>
  <si>
    <t>Name</t>
  </si>
  <si>
    <t>Tagged_Location</t>
  </si>
  <si>
    <t>Return_Location</t>
  </si>
  <si>
    <t>Address</t>
  </si>
  <si>
    <t>Comments</t>
  </si>
  <si>
    <t>Can Serial</t>
  </si>
  <si>
    <t>Bait Box</t>
  </si>
  <si>
    <t>Latitude</t>
  </si>
  <si>
    <t>Longitude</t>
  </si>
  <si>
    <t>Further Comments</t>
  </si>
  <si>
    <t>Scots Bay</t>
  </si>
  <si>
    <t>German Bank</t>
  </si>
  <si>
    <t>Derek Pendleton</t>
  </si>
  <si>
    <t>Yes - No number</t>
  </si>
  <si>
    <t>115 Lambert Rd Lambert's Cove NB E5V 1C9</t>
  </si>
  <si>
    <t>derekpendleton517@gmail.com</t>
  </si>
  <si>
    <t>Tracia Johnson Blair</t>
  </si>
  <si>
    <t>27 Tavern Drive, Kingston 6 Saint Andrew Jamaica</t>
  </si>
  <si>
    <t>2250CBXSXX</t>
  </si>
  <si>
    <t>traciajb@gmail.com</t>
  </si>
  <si>
    <t>Trevor Moore</t>
  </si>
  <si>
    <t>43 Second St Westport NS B0V 1H0</t>
  </si>
  <si>
    <t xml:space="preserve">Return date is when the person entered the information. </t>
  </si>
  <si>
    <t>rebecca_moore_1@msn.com</t>
  </si>
  <si>
    <t>Lafayette St SACO ME 04072 USA</t>
  </si>
  <si>
    <t>Return date is when the person entered the information. Found on beach - Kinney Shores Maine</t>
  </si>
  <si>
    <t>libby.joy.connor@gmail.com</t>
  </si>
  <si>
    <t>Libby Connor</t>
  </si>
  <si>
    <t>Amanda Brown</t>
  </si>
  <si>
    <t>9 Tywarnhayle Way Porthtowan Truro Cornwall TR4 8HD UK</t>
  </si>
  <si>
    <t>Return date is when the person entered the information. Found on beach - at Gwithian in Cornall on 24th October 2023</t>
  </si>
  <si>
    <t>jazzybee@hotmail.com</t>
  </si>
  <si>
    <t>Luke Casavecchia</t>
  </si>
  <si>
    <t>40 Chancoton Crt London, Ontario</t>
  </si>
  <si>
    <t>lcasavec@gmail.com</t>
  </si>
  <si>
    <t>0 60138 01775 2</t>
  </si>
  <si>
    <t>Return date is when the person entered the information. Found in kersen sardines from Costco.</t>
  </si>
  <si>
    <t>Yazmin Ruiz</t>
  </si>
  <si>
    <t>USA</t>
  </si>
  <si>
    <t>Return date is when the person entered the information.</t>
  </si>
  <si>
    <t>msyazzie09@gmail.com</t>
  </si>
  <si>
    <t>Cory Alley</t>
  </si>
  <si>
    <t>PO Box 82 131 Main Street Islesford Maine 04646 USA</t>
  </si>
  <si>
    <t>Return date is when the person entered the information. Message attached  "It was found in bait that I use to lobseter fish off the coast of Maine. The bait was full of spawn and I feel like it came from Canada"</t>
  </si>
  <si>
    <t>fvunderpressure@yahoo.com</t>
  </si>
  <si>
    <t>Jake Whynacht</t>
  </si>
  <si>
    <t>Box 1601 Liverpool NS</t>
  </si>
  <si>
    <t>Return date is when the person entered the information. Found in belly of cod fish</t>
  </si>
  <si>
    <t>whynachit@hotmail.com</t>
  </si>
  <si>
    <t>Joey Donovan</t>
  </si>
  <si>
    <t>27854 Cabot Trail Ingonish Beach USA</t>
  </si>
  <si>
    <t>joeyd8846@gmail.com</t>
  </si>
  <si>
    <t>Kimberly Daniels</t>
  </si>
  <si>
    <t>19 Bennett Ave Twickenham Park Housing Scheme Spanish Tow st Catherine Jamaica</t>
  </si>
  <si>
    <t>kimdan9888@yahoo.com</t>
  </si>
  <si>
    <t>Steven Jessome</t>
  </si>
  <si>
    <t>28 Colonel Street Brasdor Brasdor Canada</t>
  </si>
  <si>
    <t>Return date is when the person entered the information. Found in Como Como herring.</t>
  </si>
  <si>
    <t>jessome126@hotmail.com</t>
  </si>
  <si>
    <t>Leon Andrews</t>
  </si>
  <si>
    <t>204 Cardinal Drive Summerville SC 29485 USA</t>
  </si>
  <si>
    <t>ernestinemyers@hotmail.com</t>
  </si>
  <si>
    <t>Martin Lawson</t>
  </si>
  <si>
    <t>5556 McKay Street 494950 Fair Oaks California 95628 USA</t>
  </si>
  <si>
    <t>Return date is when the person entered the information. Message: "I choaked on a yellow fish tag that was in a can of sardines that I was eating for lunch. Purchased on Amazon."</t>
  </si>
  <si>
    <t>ky6d@hotmail.com</t>
  </si>
  <si>
    <t>Leah Creaser</t>
  </si>
  <si>
    <t>33 Fundy Drive, Apartment 103 Wolfville NS</t>
  </si>
  <si>
    <t>Return date is when the person entered the information. Tag found on Beach of Scot's Bay, NS</t>
  </si>
  <si>
    <t>leahcreaser@acadiau.ca</t>
  </si>
  <si>
    <t>Malcolm MacNeil</t>
  </si>
  <si>
    <t>607-790 Mohawk Rd West Hamilton, ON</t>
  </si>
  <si>
    <t>Return date is when the person entered the information. Kersen</t>
  </si>
  <si>
    <t>#TS2278</t>
  </si>
  <si>
    <t>malcolm1mac2neil3@gmail.com</t>
  </si>
  <si>
    <t>Krystal Thomas</t>
  </si>
  <si>
    <t>Williamsfield Westmoreland Westmoreland Jamaica</t>
  </si>
  <si>
    <t>0 666 131 0003 2</t>
  </si>
  <si>
    <t>krystala.thomas@gmail.com</t>
  </si>
  <si>
    <t>Rodney Smith</t>
  </si>
  <si>
    <t>7773 Vandever Rd Crossville Tennessee USA</t>
  </si>
  <si>
    <t>Return date is when the person entered the information. Found in can of Beach Cliff Sardines</t>
  </si>
  <si>
    <t>deer_slayer1956@aol.com</t>
  </si>
  <si>
    <t>Michelle Allen</t>
  </si>
  <si>
    <t>113 Hopkins Rd Rockingham North Carolina USA</t>
  </si>
  <si>
    <t>Return date is when the person entered the information. Found tag inside of herring when I was cutting it for my bait.</t>
  </si>
  <si>
    <t>michellekaylin@gmail.com</t>
  </si>
  <si>
    <t>Cole Stoddart</t>
  </si>
  <si>
    <t>36 Villagedale Road, Clark's Harbour</t>
  </si>
  <si>
    <t>Yes- No Number</t>
  </si>
  <si>
    <t>coledhs69@gmail.com</t>
  </si>
  <si>
    <t>Samuel d'Entremont</t>
  </si>
  <si>
    <t>18 Spurr Rd Lower West Pubnico NS</t>
  </si>
  <si>
    <t>samuel111dentremont@gmail.com</t>
  </si>
  <si>
    <t>Other</t>
  </si>
  <si>
    <t>UNFOUND</t>
  </si>
  <si>
    <t>N/A</t>
  </si>
  <si>
    <t>Danny Beal</t>
  </si>
  <si>
    <t>18 Marshville Rd, Harrington, ME 04643, USA</t>
  </si>
  <si>
    <t>bealdanny1975@yahoo.com</t>
  </si>
  <si>
    <t>Sebrena Edwards</t>
  </si>
  <si>
    <t>Coleraine Pines, Annotto Bay P.O. St. Mary. Jamaica</t>
  </si>
  <si>
    <t>Good morning. I found this in a can of Sardine.</t>
  </si>
  <si>
    <t>3271CBXSXX</t>
  </si>
  <si>
    <t>Orane Currie</t>
  </si>
  <si>
    <t>415 Central Ave, London, ON N6B 2E4, Canada</t>
  </si>
  <si>
    <t>314S1193R can</t>
  </si>
  <si>
    <t>oranecurrie@gmail.com</t>
  </si>
  <si>
    <t>lisasebrena@gmail.com</t>
  </si>
  <si>
    <t>524….</t>
  </si>
  <si>
    <t>Unknown</t>
  </si>
  <si>
    <t>Maurice Pommainville</t>
  </si>
  <si>
    <t>300 Rue du Jasmin, La Prairie, QC J5R 4P4, Canada</t>
  </si>
  <si>
    <t>3C3S1206T</t>
  </si>
  <si>
    <t>Can of Brunswick Sardines, found 03 feb, 2025</t>
  </si>
  <si>
    <t>mpommain@gmail.com</t>
  </si>
  <si>
    <t>Linas Inanovas</t>
  </si>
  <si>
    <t>Nemuno krant. 28-2, 45274 Kaunas, Lithuania</t>
  </si>
  <si>
    <t>linasivanovas@gmail.com</t>
  </si>
  <si>
    <t>Return date is when the person entered the information. Found in lanzerote beach at playa de janubio without fish</t>
  </si>
  <si>
    <t>Matthew Jessome</t>
  </si>
  <si>
    <t>78 Jessome Ln, Mill Creek, NS B1Y 1Y8, Canada</t>
  </si>
  <si>
    <t>Herring found in bait box, fishing out of Point Aconi, Cape Breton</t>
  </si>
  <si>
    <t>matty-jessome@hotmail.com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</si>
</sst>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624"/>
      <name val="Madefor"/>
    </font>
    <font>
      <sz val="11"/>
      <color rgb="FF000624"/>
      <name val="Madefor"/>
    </font>
    <font>
      <sz val="11"/>
      <color rgb="FF000624"/>
      <name val="Madefor"/>
    </font>
    <font>
      <sz val="11"/>
      <color rgb="FF000624"/>
      <name val="Madefor"/>
    </font>
    <font>
      <sz val="11"/>
      <color rgb="FF000624"/>
      <name val="Madef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Alignment="1">
      <alignment horizontal="left"/>
    </xf>
    <xf numFmtId="14" fontId="5" fillId="0" borderId="0" xfId="0" applyNumberFormat="1" applyFont="1" applyAlignment="1">
      <alignment horizontal="left"/>
    </xf>
    <xf numFmtId="14" fontId="0" fillId="0" borderId="0" xfId="0" applyNumberFormat="1"/>
    <xf numFmtId="0" fontId="6" fillId="0" borderId="0" xfId="0" applyFont="1"/>
    <xf numFmtId="0" fontId="5" fillId="2" borderId="0" xfId="0" applyFont="1" applyFill="1" applyAlignment="1">
      <alignment horizontal="left"/>
    </xf>
    <xf numFmtId="14" fontId="5" fillId="2" borderId="0" xfId="0" applyNumberFormat="1" applyFont="1" applyFill="1" applyAlignment="1">
      <alignment horizontal="left"/>
    </xf>
    <xf numFmtId="0" fontId="1" fillId="2" borderId="0" xfId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vunderpressure@yahoo.com" TargetMode="External"/><Relationship Id="rId13" Type="http://schemas.openxmlformats.org/officeDocument/2006/relationships/hyperlink" Target="mailto:ernestinemyers@hotmail.com" TargetMode="External"/><Relationship Id="rId18" Type="http://schemas.openxmlformats.org/officeDocument/2006/relationships/hyperlink" Target="mailto:deer_slayer1956@aol.com" TargetMode="External"/><Relationship Id="rId3" Type="http://schemas.openxmlformats.org/officeDocument/2006/relationships/hyperlink" Target="mailto:rebecca_moore_1@msn.com" TargetMode="External"/><Relationship Id="rId21" Type="http://schemas.openxmlformats.org/officeDocument/2006/relationships/hyperlink" Target="mailto:samuel111dentremont@gmail.com" TargetMode="External"/><Relationship Id="rId7" Type="http://schemas.openxmlformats.org/officeDocument/2006/relationships/hyperlink" Target="mailto:msyazzie09@gmail.com" TargetMode="External"/><Relationship Id="rId12" Type="http://schemas.openxmlformats.org/officeDocument/2006/relationships/hyperlink" Target="mailto:jessome126@hotmail.com" TargetMode="External"/><Relationship Id="rId17" Type="http://schemas.openxmlformats.org/officeDocument/2006/relationships/hyperlink" Target="mailto:krystala.thomas@gmail.com" TargetMode="External"/><Relationship Id="rId2" Type="http://schemas.openxmlformats.org/officeDocument/2006/relationships/hyperlink" Target="mailto:traciajb@gmail.com" TargetMode="External"/><Relationship Id="rId16" Type="http://schemas.openxmlformats.org/officeDocument/2006/relationships/hyperlink" Target="mailto:malcolm1mac2neil3@gmail.com" TargetMode="External"/><Relationship Id="rId20" Type="http://schemas.openxmlformats.org/officeDocument/2006/relationships/hyperlink" Target="mailto:coledhs69@gmail.com" TargetMode="External"/><Relationship Id="rId1" Type="http://schemas.openxmlformats.org/officeDocument/2006/relationships/hyperlink" Target="mailto:derekpendleton517@gmail.com" TargetMode="External"/><Relationship Id="rId6" Type="http://schemas.openxmlformats.org/officeDocument/2006/relationships/hyperlink" Target="mailto:lcasavec@gmail.com" TargetMode="External"/><Relationship Id="rId11" Type="http://schemas.openxmlformats.org/officeDocument/2006/relationships/hyperlink" Target="mailto:kimdan9888@yahoo.com" TargetMode="External"/><Relationship Id="rId5" Type="http://schemas.openxmlformats.org/officeDocument/2006/relationships/hyperlink" Target="mailto:jazzybee@hotmail.com" TargetMode="External"/><Relationship Id="rId15" Type="http://schemas.openxmlformats.org/officeDocument/2006/relationships/hyperlink" Target="mailto:leahcreaser@acadiau.ca" TargetMode="External"/><Relationship Id="rId10" Type="http://schemas.openxmlformats.org/officeDocument/2006/relationships/hyperlink" Target="mailto:joeyd8846@gmail.com" TargetMode="External"/><Relationship Id="rId19" Type="http://schemas.openxmlformats.org/officeDocument/2006/relationships/hyperlink" Target="mailto:michellekaylin@gmail.com" TargetMode="External"/><Relationship Id="rId4" Type="http://schemas.openxmlformats.org/officeDocument/2006/relationships/hyperlink" Target="mailto:libby.joy.connor@gmail.com" TargetMode="External"/><Relationship Id="rId9" Type="http://schemas.openxmlformats.org/officeDocument/2006/relationships/hyperlink" Target="mailto:whynachit@hotmail.com" TargetMode="External"/><Relationship Id="rId14" Type="http://schemas.openxmlformats.org/officeDocument/2006/relationships/hyperlink" Target="mailto:ky6d@hot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K1" zoomScaleNormal="100" workbookViewId="0">
      <pane ySplit="1" topLeftCell="A2" activePane="bottomLeft" state="frozen"/>
      <selection pane="bottomLeft" activeCell="P4" sqref="P4"/>
    </sheetView>
  </sheetViews>
  <sheetFormatPr defaultColWidth="8.7109375" defaultRowHeight="15" customHeight="1"/>
  <cols>
    <col min="1" max="1" width="3" style="3" bestFit="1" customWidth="1"/>
    <col min="2" max="2" width="12.5703125" style="3" bestFit="1" customWidth="1"/>
    <col min="3" max="3" width="13.5703125" style="3" bestFit="1" customWidth="1"/>
    <col min="4" max="4" width="12.85546875" style="3" customWidth="1"/>
    <col min="5" max="5" width="12.5703125" style="3" customWidth="1"/>
    <col min="6" max="6" width="14.28515625" style="3" bestFit="1" customWidth="1"/>
    <col min="7" max="7" width="14.85546875" style="3" bestFit="1" customWidth="1"/>
    <col min="8" max="8" width="16.28515625" style="3" customWidth="1"/>
    <col min="9" max="9" width="16" style="3" customWidth="1"/>
    <col min="10" max="10" width="75.42578125" style="3" customWidth="1"/>
    <col min="11" max="11" width="113.5703125" style="3" customWidth="1"/>
    <col min="12" max="13" width="12.140625" style="3" customWidth="1"/>
    <col min="14" max="14" width="8.42578125" style="3" bestFit="1" customWidth="1"/>
    <col min="15" max="15" width="10" style="3" bestFit="1" customWidth="1"/>
    <col min="16" max="16" width="78.28515625" style="3" customWidth="1"/>
    <col min="17" max="16384" width="8.7109375" style="3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>
      <c r="A2" s="3">
        <v>1</v>
      </c>
      <c r="B2" s="3">
        <v>567218</v>
      </c>
      <c r="C2" s="5">
        <v>45552</v>
      </c>
      <c r="D2" s="6">
        <v>45167</v>
      </c>
      <c r="E2" s="5">
        <v>45266</v>
      </c>
      <c r="F2" s="3">
        <f t="shared" ref="F2:F15" si="0">E2-D2</f>
        <v>99</v>
      </c>
      <c r="G2" s="3" t="s">
        <v>18</v>
      </c>
      <c r="J2" s="3" t="s">
        <v>20</v>
      </c>
      <c r="K2" s="3" t="s">
        <v>28</v>
      </c>
      <c r="M2" s="3" t="s">
        <v>19</v>
      </c>
      <c r="P2" s="4" t="s">
        <v>21</v>
      </c>
    </row>
    <row r="3" spans="1:16" ht="15" customHeight="1">
      <c r="A3" s="3">
        <v>2</v>
      </c>
      <c r="B3" s="3">
        <v>502001</v>
      </c>
      <c r="C3" s="5">
        <v>45552</v>
      </c>
      <c r="D3" s="6">
        <v>44795</v>
      </c>
      <c r="E3" s="5">
        <v>45262</v>
      </c>
      <c r="F3" s="3">
        <f t="shared" si="0"/>
        <v>467</v>
      </c>
      <c r="G3" s="3" t="s">
        <v>22</v>
      </c>
      <c r="J3" s="3" t="s">
        <v>23</v>
      </c>
      <c r="K3" s="3" t="s">
        <v>28</v>
      </c>
      <c r="L3" s="3" t="s">
        <v>24</v>
      </c>
      <c r="P3" s="4" t="s">
        <v>25</v>
      </c>
    </row>
    <row r="4" spans="1:16" ht="15" customHeight="1">
      <c r="A4" s="3">
        <v>3</v>
      </c>
      <c r="B4" s="3">
        <v>556292</v>
      </c>
      <c r="C4" s="5">
        <v>45552</v>
      </c>
      <c r="D4" s="6">
        <v>45105</v>
      </c>
      <c r="E4" s="5">
        <v>45243</v>
      </c>
      <c r="F4" s="3">
        <f t="shared" si="0"/>
        <v>138</v>
      </c>
      <c r="G4" s="3" t="s">
        <v>26</v>
      </c>
      <c r="J4" s="3" t="s">
        <v>27</v>
      </c>
      <c r="K4" s="3" t="s">
        <v>28</v>
      </c>
      <c r="P4" s="4" t="s">
        <v>29</v>
      </c>
    </row>
    <row r="5" spans="1:16" ht="15" customHeight="1">
      <c r="A5" s="3">
        <v>4</v>
      </c>
      <c r="B5" s="3">
        <v>473464</v>
      </c>
      <c r="C5" s="5">
        <v>45552</v>
      </c>
      <c r="D5" s="6">
        <v>45114</v>
      </c>
      <c r="E5" s="5">
        <v>45226</v>
      </c>
      <c r="F5" s="3">
        <f t="shared" si="0"/>
        <v>112</v>
      </c>
      <c r="G5" s="3" t="s">
        <v>33</v>
      </c>
      <c r="J5" s="3" t="s">
        <v>30</v>
      </c>
      <c r="K5" s="3" t="s">
        <v>31</v>
      </c>
      <c r="P5" s="4" t="s">
        <v>32</v>
      </c>
    </row>
    <row r="6" spans="1:16" ht="15" customHeight="1">
      <c r="A6" s="3">
        <v>5</v>
      </c>
      <c r="B6" s="3">
        <v>517984</v>
      </c>
      <c r="C6" s="5">
        <v>45552</v>
      </c>
      <c r="D6" s="6">
        <v>44473</v>
      </c>
      <c r="E6" s="5">
        <v>45226</v>
      </c>
      <c r="F6" s="3">
        <f t="shared" si="0"/>
        <v>753</v>
      </c>
      <c r="G6" s="3" t="s">
        <v>34</v>
      </c>
      <c r="J6" s="3" t="s">
        <v>35</v>
      </c>
      <c r="K6" s="3" t="s">
        <v>36</v>
      </c>
      <c r="P6" s="4" t="s">
        <v>37</v>
      </c>
    </row>
    <row r="7" spans="1:16" ht="15" customHeight="1">
      <c r="A7" s="3">
        <v>6</v>
      </c>
      <c r="B7" s="3">
        <v>510556</v>
      </c>
      <c r="C7" s="5">
        <v>45552</v>
      </c>
      <c r="D7" s="6">
        <v>44802</v>
      </c>
      <c r="E7" s="5">
        <v>45222</v>
      </c>
      <c r="F7" s="3">
        <f t="shared" si="0"/>
        <v>420</v>
      </c>
      <c r="G7" s="3" t="s">
        <v>38</v>
      </c>
      <c r="J7" s="3" t="s">
        <v>39</v>
      </c>
      <c r="K7" s="3" t="s">
        <v>42</v>
      </c>
      <c r="L7" s="3" t="s">
        <v>41</v>
      </c>
      <c r="P7" s="4" t="s">
        <v>40</v>
      </c>
    </row>
    <row r="8" spans="1:16" ht="15" customHeight="1">
      <c r="A8" s="3">
        <v>7</v>
      </c>
      <c r="B8" s="3">
        <v>557217</v>
      </c>
      <c r="C8" s="5">
        <v>45552</v>
      </c>
      <c r="D8" s="6">
        <v>45112</v>
      </c>
      <c r="E8" s="5">
        <v>45221</v>
      </c>
      <c r="F8" s="3">
        <f t="shared" si="0"/>
        <v>109</v>
      </c>
      <c r="G8" s="3" t="s">
        <v>43</v>
      </c>
      <c r="J8" s="3" t="s">
        <v>44</v>
      </c>
      <c r="K8" s="3" t="s">
        <v>45</v>
      </c>
      <c r="M8" s="3" t="s">
        <v>19</v>
      </c>
      <c r="P8" s="4" t="s">
        <v>46</v>
      </c>
    </row>
    <row r="9" spans="1:16" ht="15" customHeight="1">
      <c r="A9" s="3">
        <v>8</v>
      </c>
      <c r="B9" s="3">
        <v>567458</v>
      </c>
      <c r="C9" s="5">
        <v>45552</v>
      </c>
      <c r="D9" s="6">
        <v>45172</v>
      </c>
      <c r="E9" s="5">
        <v>45200</v>
      </c>
      <c r="F9" s="3">
        <f t="shared" si="0"/>
        <v>28</v>
      </c>
      <c r="G9" s="3" t="s">
        <v>47</v>
      </c>
      <c r="J9" s="3" t="s">
        <v>48</v>
      </c>
      <c r="K9" s="3" t="s">
        <v>49</v>
      </c>
      <c r="M9" s="3" t="s">
        <v>19</v>
      </c>
      <c r="P9" s="4" t="s">
        <v>50</v>
      </c>
    </row>
    <row r="10" spans="1:16" ht="15" customHeight="1">
      <c r="A10" s="3">
        <v>9</v>
      </c>
      <c r="B10" s="3">
        <v>498347</v>
      </c>
      <c r="C10" s="5">
        <v>45552</v>
      </c>
      <c r="D10" s="6">
        <v>44789</v>
      </c>
      <c r="E10" s="5">
        <v>45087</v>
      </c>
      <c r="F10" s="3">
        <f t="shared" si="0"/>
        <v>298</v>
      </c>
      <c r="G10" s="3" t="s">
        <v>51</v>
      </c>
      <c r="J10" s="3" t="s">
        <v>52</v>
      </c>
      <c r="K10" s="3" t="s">
        <v>53</v>
      </c>
      <c r="P10" s="4" t="s">
        <v>54</v>
      </c>
    </row>
    <row r="11" spans="1:16" ht="15" customHeight="1">
      <c r="A11" s="3">
        <v>10</v>
      </c>
      <c r="B11" s="3">
        <v>500573</v>
      </c>
      <c r="C11" s="5">
        <v>45552</v>
      </c>
      <c r="D11" s="6">
        <v>44782</v>
      </c>
      <c r="E11" s="5">
        <v>45086</v>
      </c>
      <c r="F11" s="3">
        <f t="shared" si="0"/>
        <v>304</v>
      </c>
      <c r="G11" s="3" t="s">
        <v>55</v>
      </c>
      <c r="H11" s="3" t="s">
        <v>16</v>
      </c>
      <c r="J11" s="3" t="s">
        <v>56</v>
      </c>
      <c r="K11" s="3" t="s">
        <v>45</v>
      </c>
      <c r="M11" s="3">
        <v>12082241</v>
      </c>
      <c r="P11" s="4" t="s">
        <v>57</v>
      </c>
    </row>
    <row r="12" spans="1:16" ht="15" customHeight="1">
      <c r="A12" s="3">
        <v>11</v>
      </c>
      <c r="B12" s="3">
        <v>594122</v>
      </c>
      <c r="C12" s="5">
        <v>45552</v>
      </c>
      <c r="D12" s="6">
        <v>44797</v>
      </c>
      <c r="E12" s="5">
        <v>45084</v>
      </c>
      <c r="F12" s="3">
        <f t="shared" si="0"/>
        <v>287</v>
      </c>
      <c r="G12" s="3" t="s">
        <v>58</v>
      </c>
      <c r="H12" s="3" t="s">
        <v>16</v>
      </c>
      <c r="J12" s="3" t="s">
        <v>59</v>
      </c>
      <c r="K12" s="3" t="s">
        <v>45</v>
      </c>
      <c r="L12" s="3" t="s">
        <v>24</v>
      </c>
      <c r="P12" s="4" t="s">
        <v>60</v>
      </c>
    </row>
    <row r="13" spans="1:16" ht="15" customHeight="1">
      <c r="A13" s="3">
        <v>12</v>
      </c>
      <c r="B13" s="3">
        <v>590350</v>
      </c>
      <c r="C13" s="5">
        <v>45552</v>
      </c>
      <c r="D13" s="6">
        <v>44425</v>
      </c>
      <c r="E13" s="5">
        <v>45069</v>
      </c>
      <c r="F13" s="3">
        <f t="shared" si="0"/>
        <v>644</v>
      </c>
      <c r="G13" s="3" t="s">
        <v>61</v>
      </c>
      <c r="H13" s="3" t="s">
        <v>16</v>
      </c>
      <c r="J13" s="3" t="s">
        <v>62</v>
      </c>
      <c r="K13" s="3" t="s">
        <v>63</v>
      </c>
      <c r="P13" s="4" t="s">
        <v>64</v>
      </c>
    </row>
    <row r="14" spans="1:16" ht="15" customHeight="1">
      <c r="A14" s="3">
        <v>13</v>
      </c>
      <c r="B14" s="3">
        <v>507864</v>
      </c>
      <c r="C14" s="5">
        <v>45552</v>
      </c>
      <c r="D14" s="6">
        <v>44750</v>
      </c>
      <c r="E14" s="5">
        <v>45066</v>
      </c>
      <c r="F14" s="3">
        <f t="shared" si="0"/>
        <v>316</v>
      </c>
      <c r="G14" s="3" t="s">
        <v>65</v>
      </c>
      <c r="H14" s="3" t="s">
        <v>100</v>
      </c>
      <c r="J14" s="3" t="s">
        <v>66</v>
      </c>
      <c r="K14" s="3" t="s">
        <v>45</v>
      </c>
      <c r="L14" s="3">
        <v>2010000006</v>
      </c>
      <c r="P14" s="4" t="s">
        <v>67</v>
      </c>
    </row>
    <row r="15" spans="1:16" s="8" customFormat="1" ht="15" customHeight="1">
      <c r="A15" s="8">
        <v>14</v>
      </c>
      <c r="B15" s="8">
        <v>495950</v>
      </c>
      <c r="C15" s="9">
        <v>45552</v>
      </c>
      <c r="D15" s="8" t="s">
        <v>101</v>
      </c>
      <c r="E15" s="9">
        <v>45052</v>
      </c>
      <c r="F15" s="8" t="e">
        <f t="shared" si="0"/>
        <v>#VALUE!</v>
      </c>
      <c r="G15" s="8" t="s">
        <v>68</v>
      </c>
      <c r="H15" s="8" t="s">
        <v>102</v>
      </c>
      <c r="J15" s="8" t="s">
        <v>69</v>
      </c>
      <c r="K15" s="8" t="s">
        <v>70</v>
      </c>
      <c r="L15" s="8" t="s">
        <v>95</v>
      </c>
      <c r="P15" s="10" t="s">
        <v>71</v>
      </c>
    </row>
    <row r="16" spans="1:16" ht="15" customHeight="1">
      <c r="A16" s="3">
        <v>15</v>
      </c>
      <c r="B16" s="3">
        <v>453405</v>
      </c>
      <c r="C16" s="5">
        <v>45552</v>
      </c>
      <c r="D16" s="6">
        <v>42943</v>
      </c>
      <c r="E16" s="5">
        <v>45035</v>
      </c>
      <c r="F16" s="3">
        <f>E16-D16</f>
        <v>2092</v>
      </c>
      <c r="G16" s="3" t="s">
        <v>72</v>
      </c>
      <c r="H16" s="3" t="s">
        <v>17</v>
      </c>
      <c r="I16" s="3" t="s">
        <v>16</v>
      </c>
      <c r="J16" s="3" t="s">
        <v>73</v>
      </c>
      <c r="K16" s="3" t="s">
        <v>74</v>
      </c>
      <c r="P16" s="4" t="s">
        <v>75</v>
      </c>
    </row>
    <row r="17" spans="1:16" ht="15" customHeight="1">
      <c r="A17" s="3">
        <v>16</v>
      </c>
      <c r="B17" s="3">
        <v>495668</v>
      </c>
      <c r="C17" s="5">
        <v>45552</v>
      </c>
      <c r="D17" s="6">
        <v>44780</v>
      </c>
      <c r="E17" s="5">
        <v>44987</v>
      </c>
      <c r="F17" s="3">
        <f t="shared" ref="F17:F22" si="1">E17-D17</f>
        <v>207</v>
      </c>
      <c r="G17" s="3" t="s">
        <v>76</v>
      </c>
      <c r="H17" s="3" t="s">
        <v>16</v>
      </c>
      <c r="J17" s="3" t="s">
        <v>77</v>
      </c>
      <c r="K17" s="3" t="s">
        <v>78</v>
      </c>
      <c r="L17" s="3" t="s">
        <v>79</v>
      </c>
      <c r="P17" s="4" t="s">
        <v>80</v>
      </c>
    </row>
    <row r="18" spans="1:16" s="8" customFormat="1" ht="15" customHeight="1">
      <c r="A18" s="8">
        <v>17</v>
      </c>
      <c r="B18" s="8">
        <v>561231</v>
      </c>
      <c r="C18" s="9">
        <v>45552</v>
      </c>
      <c r="D18" s="8" t="s">
        <v>101</v>
      </c>
      <c r="E18" s="9">
        <v>45397</v>
      </c>
      <c r="F18" s="8" t="e">
        <f t="shared" si="1"/>
        <v>#VALUE!</v>
      </c>
      <c r="G18" s="8" t="s">
        <v>81</v>
      </c>
      <c r="H18" s="8" t="s">
        <v>102</v>
      </c>
      <c r="J18" s="8" t="s">
        <v>82</v>
      </c>
      <c r="K18" s="8" t="s">
        <v>45</v>
      </c>
      <c r="L18" s="8" t="s">
        <v>83</v>
      </c>
      <c r="P18" s="10" t="s">
        <v>84</v>
      </c>
    </row>
    <row r="19" spans="1:16" ht="15" customHeight="1">
      <c r="A19" s="3">
        <v>18</v>
      </c>
      <c r="B19" s="3">
        <v>564633</v>
      </c>
      <c r="C19" s="5">
        <v>45552</v>
      </c>
      <c r="D19" s="6">
        <v>45167</v>
      </c>
      <c r="E19" s="5">
        <v>45384</v>
      </c>
      <c r="F19" s="3">
        <f t="shared" si="1"/>
        <v>217</v>
      </c>
      <c r="G19" s="3" t="s">
        <v>85</v>
      </c>
      <c r="H19" s="3" t="s">
        <v>16</v>
      </c>
      <c r="J19" s="3" t="s">
        <v>86</v>
      </c>
      <c r="K19" s="3" t="s">
        <v>87</v>
      </c>
      <c r="P19" s="4" t="s">
        <v>88</v>
      </c>
    </row>
    <row r="20" spans="1:16" ht="15" customHeight="1">
      <c r="A20" s="3">
        <v>19</v>
      </c>
      <c r="B20" s="3">
        <v>512790</v>
      </c>
      <c r="C20" s="5">
        <v>45552</v>
      </c>
      <c r="D20" s="6">
        <v>44418</v>
      </c>
      <c r="E20" s="5">
        <v>45373</v>
      </c>
      <c r="F20" s="3">
        <f t="shared" si="1"/>
        <v>955</v>
      </c>
      <c r="G20" s="3" t="s">
        <v>89</v>
      </c>
      <c r="H20" s="3" t="s">
        <v>100</v>
      </c>
      <c r="J20" s="3" t="s">
        <v>90</v>
      </c>
      <c r="K20" s="3" t="s">
        <v>91</v>
      </c>
      <c r="M20" s="3" t="s">
        <v>19</v>
      </c>
      <c r="P20" s="4" t="s">
        <v>92</v>
      </c>
    </row>
    <row r="21" spans="1:16" s="8" customFormat="1" ht="15" customHeight="1">
      <c r="A21" s="8">
        <v>20</v>
      </c>
      <c r="B21" s="8">
        <v>561649</v>
      </c>
      <c r="C21" s="9">
        <v>45552</v>
      </c>
      <c r="D21" s="8" t="s">
        <v>101</v>
      </c>
      <c r="E21" s="9">
        <v>45367</v>
      </c>
      <c r="F21" s="8" t="e">
        <f t="shared" si="1"/>
        <v>#VALUE!</v>
      </c>
      <c r="G21" s="8" t="s">
        <v>93</v>
      </c>
      <c r="H21" s="8" t="s">
        <v>102</v>
      </c>
      <c r="J21" s="8" t="s">
        <v>94</v>
      </c>
      <c r="K21" s="8" t="s">
        <v>45</v>
      </c>
      <c r="M21" s="8" t="s">
        <v>19</v>
      </c>
      <c r="P21" s="10" t="s">
        <v>96</v>
      </c>
    </row>
    <row r="22" spans="1:16" s="8" customFormat="1" ht="15" customHeight="1">
      <c r="A22" s="8">
        <v>21</v>
      </c>
      <c r="B22" s="8">
        <v>559915</v>
      </c>
      <c r="C22" s="9">
        <v>45552</v>
      </c>
      <c r="D22" s="8" t="s">
        <v>101</v>
      </c>
      <c r="E22" s="9">
        <v>45365</v>
      </c>
      <c r="F22" s="8" t="e">
        <f t="shared" si="1"/>
        <v>#VALUE!</v>
      </c>
      <c r="G22" s="8" t="s">
        <v>97</v>
      </c>
      <c r="H22" s="8" t="s">
        <v>102</v>
      </c>
      <c r="J22" s="8" t="s">
        <v>98</v>
      </c>
      <c r="K22" s="8" t="s">
        <v>45</v>
      </c>
      <c r="M22" s="8" t="s">
        <v>19</v>
      </c>
      <c r="P22" s="10" t="s">
        <v>99</v>
      </c>
    </row>
    <row r="23" spans="1:16" ht="15" customHeight="1">
      <c r="A23" s="3">
        <v>22</v>
      </c>
      <c r="B23" s="3">
        <v>502977</v>
      </c>
      <c r="C23" s="5">
        <v>45568</v>
      </c>
      <c r="D23" s="5">
        <v>44797</v>
      </c>
      <c r="E23" s="5">
        <v>45568</v>
      </c>
      <c r="F23" s="3">
        <f>C23-D23</f>
        <v>771</v>
      </c>
      <c r="G23" s="3" t="s">
        <v>103</v>
      </c>
      <c r="H23" s="3" t="s">
        <v>17</v>
      </c>
      <c r="J23" s="7" t="s">
        <v>104</v>
      </c>
      <c r="K23" s="3" t="s">
        <v>45</v>
      </c>
      <c r="M23" s="3" t="s">
        <v>19</v>
      </c>
      <c r="P23" s="7" t="s">
        <v>105</v>
      </c>
    </row>
    <row r="24" spans="1:16" ht="15" customHeight="1">
      <c r="A24" s="3">
        <v>23</v>
      </c>
      <c r="B24" s="3">
        <v>532275</v>
      </c>
      <c r="C24" s="5">
        <v>45597</v>
      </c>
      <c r="D24" s="5">
        <v>45180</v>
      </c>
      <c r="E24" s="5">
        <v>45597</v>
      </c>
      <c r="F24" s="3">
        <f>C24-D24</f>
        <v>417</v>
      </c>
      <c r="G24" s="3" t="s">
        <v>106</v>
      </c>
      <c r="H24" s="3" t="s">
        <v>17</v>
      </c>
      <c r="J24" s="11" t="s">
        <v>107</v>
      </c>
      <c r="K24" s="11" t="s">
        <v>108</v>
      </c>
      <c r="L24" s="11" t="s">
        <v>109</v>
      </c>
      <c r="P24" s="12" t="s">
        <v>114</v>
      </c>
    </row>
    <row r="25" spans="1:16" ht="15" customHeight="1">
      <c r="A25" s="3">
        <v>24</v>
      </c>
      <c r="B25" s="12">
        <v>566638</v>
      </c>
      <c r="C25" s="5">
        <v>45692</v>
      </c>
      <c r="G25" s="3" t="s">
        <v>110</v>
      </c>
      <c r="J25" s="12" t="s">
        <v>111</v>
      </c>
      <c r="L25" s="12" t="s">
        <v>112</v>
      </c>
      <c r="P25" s="12" t="s">
        <v>113</v>
      </c>
    </row>
    <row r="26" spans="1:16" ht="15" customHeight="1">
      <c r="A26" s="3">
        <v>25</v>
      </c>
      <c r="B26" s="3" t="s">
        <v>115</v>
      </c>
      <c r="C26" s="5">
        <v>45691</v>
      </c>
      <c r="D26" s="3" t="s">
        <v>116</v>
      </c>
      <c r="E26" s="5">
        <v>45691</v>
      </c>
      <c r="G26" s="3" t="s">
        <v>117</v>
      </c>
      <c r="J26" s="12" t="s">
        <v>118</v>
      </c>
      <c r="K26" s="12" t="s">
        <v>120</v>
      </c>
      <c r="L26" s="12" t="s">
        <v>119</v>
      </c>
      <c r="P26" s="12" t="s">
        <v>121</v>
      </c>
    </row>
    <row r="27" spans="1:16" ht="15" customHeight="1">
      <c r="A27" s="3">
        <v>26</v>
      </c>
      <c r="B27" s="3">
        <v>470577</v>
      </c>
      <c r="C27" s="5">
        <v>45785</v>
      </c>
      <c r="E27" s="5">
        <v>45785</v>
      </c>
      <c r="G27" s="3" t="s">
        <v>122</v>
      </c>
      <c r="J27" s="13" t="s">
        <v>123</v>
      </c>
      <c r="K27" s="3" t="s">
        <v>125</v>
      </c>
      <c r="L27" s="3" t="s">
        <v>102</v>
      </c>
      <c r="M27" s="3" t="s">
        <v>102</v>
      </c>
      <c r="P27" s="13" t="s">
        <v>124</v>
      </c>
    </row>
    <row r="28" spans="1:16" ht="15" customHeight="1">
      <c r="A28" s="3">
        <v>27</v>
      </c>
      <c r="B28" s="14">
        <v>528839</v>
      </c>
      <c r="C28" s="5">
        <v>45821</v>
      </c>
      <c r="E28" s="5">
        <v>45821</v>
      </c>
      <c r="G28" s="3" t="s">
        <v>126</v>
      </c>
      <c r="J28" s="14" t="s">
        <v>127</v>
      </c>
      <c r="K28" s="14" t="s">
        <v>128</v>
      </c>
      <c r="P28" s="14" t="s">
        <v>129</v>
      </c>
    </row>
  </sheetData>
  <hyperlinks>
    <hyperlink ref="P2" r:id="rId1" xr:uid="{F3DF4297-73C0-4E5D-8349-27AC8EA4C603}"/>
    <hyperlink ref="P3" r:id="rId2" xr:uid="{42E6D97A-496C-41C9-A839-ABF31EE75586}"/>
    <hyperlink ref="P4" r:id="rId3" xr:uid="{B1A1672E-9658-42D5-B1CE-82C28ED2A40C}"/>
    <hyperlink ref="P5" r:id="rId4" xr:uid="{582D113D-1370-480E-A5D5-D93B43ED6680}"/>
    <hyperlink ref="P6" r:id="rId5" xr:uid="{5B11A5C2-342A-4F85-854D-D23ECEECED58}"/>
    <hyperlink ref="P7" r:id="rId6" xr:uid="{36055986-2921-4875-8ABB-D0EDAD7A7505}"/>
    <hyperlink ref="P8" r:id="rId7" xr:uid="{3B31F40F-3768-4C5C-96EC-8D0EC2AE0E19}"/>
    <hyperlink ref="P9" r:id="rId8" xr:uid="{8A63E407-4C6F-4825-9DB4-9D9D8A002CEB}"/>
    <hyperlink ref="P10" r:id="rId9" xr:uid="{9B2BBB19-702E-457F-AE4C-08B87150E468}"/>
    <hyperlink ref="P11" r:id="rId10" xr:uid="{99C08EBC-9CD3-4F89-A351-A99C696517D8}"/>
    <hyperlink ref="P12" r:id="rId11" xr:uid="{AF9F1A07-B4FB-409A-93F2-65137ADD6FC0}"/>
    <hyperlink ref="P13" r:id="rId12" xr:uid="{F742725F-15AF-4978-AFE7-55D96431BB2B}"/>
    <hyperlink ref="P14" r:id="rId13" xr:uid="{F1098B44-616D-4B3B-9208-E721C4563C9C}"/>
    <hyperlink ref="P15" r:id="rId14" xr:uid="{FEBDDC3B-E26B-4042-A5C5-B8B9003F0838}"/>
    <hyperlink ref="P16" r:id="rId15" xr:uid="{2AFFF562-E64D-49DB-93CB-38E251A74803}"/>
    <hyperlink ref="P17" r:id="rId16" xr:uid="{398DA7C5-535D-4CE1-9821-75C26A2E1128}"/>
    <hyperlink ref="P18" r:id="rId17" xr:uid="{7367F9C3-AD27-4BA9-B892-47F94D718E7F}"/>
    <hyperlink ref="P19" r:id="rId18" xr:uid="{DBECCAE5-FFF0-46A6-AD52-1D2FB62F1DA5}"/>
    <hyperlink ref="P20" r:id="rId19" xr:uid="{C0ED1C3A-EE45-4A37-9960-05A8C9E0B633}"/>
    <hyperlink ref="P21" r:id="rId20" xr:uid="{B33A68A2-703D-45AD-A609-DCFE7375F04E}"/>
    <hyperlink ref="P22" r:id="rId21" xr:uid="{56B88701-938B-4657-A240-99A554B4D2F5}"/>
  </hyperlinks>
  <pageMargins left="0.7" right="0.7" top="0.75" bottom="0.75" header="0.3" footer="0.3"/>
  <pageSetup orientation="portrait"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C79C7-2EDB-4E58-AB6B-F49761D2C88D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2.xml><?xml version="1.0" encoding="utf-8"?>
<ds:datastoreItem xmlns:ds="http://schemas.openxmlformats.org/officeDocument/2006/customXml" ds:itemID="{47E34C5A-4298-4748-9C52-1272D5DC3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1533E8-830B-4404-9C81-09A35A352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Herring Science</dc:creator>
  <cp:keywords/>
  <dc:description/>
  <cp:lastModifiedBy>Tracey Leask</cp:lastModifiedBy>
  <cp:revision/>
  <dcterms:created xsi:type="dcterms:W3CDTF">2017-02-02T13:54:29Z</dcterms:created>
  <dcterms:modified xsi:type="dcterms:W3CDTF">2025-07-17T18:33:25Z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