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rringscience.sharepoint.com/sites/AFF44Contract/Shared Documents/Website/2023 Returns/"/>
    </mc:Choice>
  </mc:AlternateContent>
  <xr:revisionPtr revIDLastSave="279" documentId="13_ncr:1_{0B104F68-FFB0-41AD-BF2C-A8BE9DB7C738}" xr6:coauthVersionLast="47" xr6:coauthVersionMax="47" xr10:uidLastSave="{EF077822-BD58-4EF7-A936-DC5B0EDA492C}"/>
  <bookViews>
    <workbookView xWindow="-19370" yWindow="-13780" windowWidth="19370" windowHeight="209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16" i="1"/>
  <c r="F8" i="1"/>
  <c r="F4" i="1"/>
  <c r="F3" i="1"/>
</calcChain>
</file>

<file path=xl/sharedStrings.xml><?xml version="1.0" encoding="utf-8"?>
<sst xmlns="http://schemas.openxmlformats.org/spreadsheetml/2006/main" count="86" uniqueCount="61">
  <si>
    <t>ID</t>
  </si>
  <si>
    <t>Tag_Number</t>
  </si>
  <si>
    <t>Date_Entered</t>
  </si>
  <si>
    <t>Tagged_Date</t>
  </si>
  <si>
    <t>Return_Date</t>
  </si>
  <si>
    <t>Days_at_Large</t>
  </si>
  <si>
    <t>Name</t>
  </si>
  <si>
    <t>Tagged_Location</t>
  </si>
  <si>
    <t>Return_Location</t>
  </si>
  <si>
    <t>Address</t>
  </si>
  <si>
    <t>Comments</t>
  </si>
  <si>
    <t>Can Serial</t>
  </si>
  <si>
    <t>Bait Box</t>
  </si>
  <si>
    <t>Latitude</t>
  </si>
  <si>
    <t>Longitude</t>
  </si>
  <si>
    <t>Further Comments</t>
  </si>
  <si>
    <t>Alexcia Thomas</t>
  </si>
  <si>
    <t>Scots Bay</t>
  </si>
  <si>
    <t>German Bank</t>
  </si>
  <si>
    <t>thomasalexcia64@gmail.com</t>
  </si>
  <si>
    <t>Canned, reported 23/08/23. Tagged 23-08-2022, Scots Bay. Emailed in from Matt Walsh -  Connors.</t>
  </si>
  <si>
    <t>2287CBXSXX</t>
  </si>
  <si>
    <t>28/08/2023</t>
  </si>
  <si>
    <t>Jamie Thomas</t>
  </si>
  <si>
    <t>Same tag as above, but submitted via website 5 days later.</t>
  </si>
  <si>
    <t>2236CBXSXX</t>
  </si>
  <si>
    <t>Guy Tarrance</t>
  </si>
  <si>
    <t>Grand Manan</t>
  </si>
  <si>
    <t>Gannet Dry Ledge / Grand Manan</t>
  </si>
  <si>
    <t>guy.m.tarrance@gmail.com</t>
  </si>
  <si>
    <t>Found in 3.75oz can of "Beach Cliff Sardines" served in Soybean Oil on 08/09/2023.  Distributed by Bumble Bee Seafood, San Diego, CA 92186 USA - Product of Canada.</t>
  </si>
  <si>
    <t>2196CBXSXX</t>
  </si>
  <si>
    <t>Unknown</t>
  </si>
  <si>
    <t>Kenneth Best</t>
  </si>
  <si>
    <t>kbest67@hotmail.com</t>
  </si>
  <si>
    <t>Found in bait I bought June 26 2023 from Victoria Co-op Fisheries in Neil's Harbour NS</t>
  </si>
  <si>
    <t>Email enquiry to Victoria Co-op Fisheries. 30-08-2023</t>
  </si>
  <si>
    <t>21/09/2023</t>
  </si>
  <si>
    <t>Sherren Stuart Devon</t>
  </si>
  <si>
    <t>McDormand Patch</t>
  </si>
  <si>
    <t>Sherrenstuartdevon@hotmail.com</t>
  </si>
  <si>
    <t xml:space="preserve">Found in a herring net off Nova Scotia canada </t>
  </si>
  <si>
    <t>From the States, no name in address</t>
  </si>
  <si>
    <t>26/06/2023</t>
  </si>
  <si>
    <t>Jennifer Linatsas</t>
  </si>
  <si>
    <t>Grand Manan Bank</t>
  </si>
  <si>
    <t>jennifer.linatsas@gmail.com</t>
  </si>
  <si>
    <t>Found tags in cove of Morse Island, Friendship, ME</t>
  </si>
  <si>
    <t>Phone number: 9783193080, Address: 26 Greenlay Street  Nashua NH 03063 United States</t>
  </si>
  <si>
    <t>Joseph Nickerson</t>
  </si>
  <si>
    <t>Found while on out Lady Melissa. Returned to sea.</t>
  </si>
  <si>
    <t>Found while on tagging trip.</t>
  </si>
  <si>
    <t>29/09/2023</t>
  </si>
  <si>
    <t>19/07/2023</t>
  </si>
  <si>
    <t>Seamus Leavy</t>
  </si>
  <si>
    <t>seamus.leavy94@gmail.com</t>
  </si>
  <si>
    <t xml:space="preserve">I found it while making bait pockets for lobstering.  The herring comes from a local who fishes for Herring near Mount Desert Island, Maine </t>
  </si>
  <si>
    <t>Phone number: 6025747200
Address: 79 Burnt Hill Rd  Bass Harbor  ME 04653 United States</t>
  </si>
  <si>
    <t>Will Dixon</t>
  </si>
  <si>
    <t>willd2226@gmail.com</t>
  </si>
  <si>
    <t>Found in baut, serial number unknown, cannot be traced. Comeaus/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</si>
</sst>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rgb="FF444444"/>
      <name val="Arial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sz val="11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/>
    </xf>
    <xf numFmtId="0" fontId="1" fillId="0" borderId="0" xfId="1" applyAlignment="1">
      <alignment horizontal="left" wrapText="1"/>
    </xf>
    <xf numFmtId="0" fontId="7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1" applyFill="1" applyBorder="1" applyAlignment="1">
      <alignment horizontal="left" wrapText="1"/>
    </xf>
    <xf numFmtId="14" fontId="2" fillId="0" borderId="0" xfId="2" applyNumberFormat="1" applyAlignment="1">
      <alignment horizontal="left"/>
    </xf>
    <xf numFmtId="165" fontId="2" fillId="0" borderId="0" xfId="2" applyNumberFormat="1" applyAlignment="1">
      <alignment horizontal="left"/>
    </xf>
    <xf numFmtId="0" fontId="2" fillId="0" borderId="0" xfId="2" applyAlignment="1">
      <alignment horizontal="left"/>
    </xf>
    <xf numFmtId="17" fontId="0" fillId="0" borderId="0" xfId="0" applyNumberFormat="1"/>
    <xf numFmtId="0" fontId="8" fillId="0" borderId="0" xfId="0" applyFont="1"/>
    <xf numFmtId="1" fontId="5" fillId="0" borderId="0" xfId="0" applyNumberFormat="1" applyFont="1" applyAlignment="1">
      <alignment horizontal="left" vertical="top" wrapText="1"/>
    </xf>
    <xf numFmtId="0" fontId="5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1" applyFill="1" applyAlignment="1">
      <alignment horizontal="left"/>
    </xf>
    <xf numFmtId="0" fontId="0" fillId="2" borderId="0" xfId="0" applyFill="1" applyAlignment="1">
      <alignment horizontal="left" vertical="top" wrapText="1"/>
    </xf>
    <xf numFmtId="1" fontId="5" fillId="2" borderId="0" xfId="0" applyNumberFormat="1" applyFont="1" applyFill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9" fillId="0" borderId="0" xfId="0" applyFont="1"/>
    <xf numFmtId="164" fontId="9" fillId="0" borderId="0" xfId="0" applyNumberFormat="1" applyFont="1"/>
    <xf numFmtId="164" fontId="9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 wrapText="1"/>
    </xf>
    <xf numFmtId="0" fontId="10" fillId="0" borderId="0" xfId="0" applyFont="1"/>
    <xf numFmtId="2" fontId="5" fillId="0" borderId="0" xfId="0" applyNumberFormat="1" applyFont="1" applyAlignment="1">
      <alignment horizontal="left"/>
    </xf>
    <xf numFmtId="0" fontId="11" fillId="0" borderId="0" xfId="0" applyFon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kbest67@hotmail.com" TargetMode="External"/><Relationship Id="rId7" Type="http://schemas.openxmlformats.org/officeDocument/2006/relationships/hyperlink" Target="mailto:willd2226@gmail.com" TargetMode="External"/><Relationship Id="rId2" Type="http://schemas.openxmlformats.org/officeDocument/2006/relationships/hyperlink" Target="mailto:guy.m.tarrance@gmail.com" TargetMode="External"/><Relationship Id="rId1" Type="http://schemas.openxmlformats.org/officeDocument/2006/relationships/hyperlink" Target="mailto:thomasalexcia64@gmail.com" TargetMode="External"/><Relationship Id="rId6" Type="http://schemas.openxmlformats.org/officeDocument/2006/relationships/hyperlink" Target="mailto:seamus.leavy94@gmail.com" TargetMode="External"/><Relationship Id="rId5" Type="http://schemas.openxmlformats.org/officeDocument/2006/relationships/hyperlink" Target="mailto:jennifer.linatsas@gmail.com" TargetMode="External"/><Relationship Id="rId4" Type="http://schemas.openxmlformats.org/officeDocument/2006/relationships/hyperlink" Target="mailto:Sherrenstuartdevo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zoomScaleNormal="100" workbookViewId="0">
      <pane ySplit="1" topLeftCell="A2" activePane="bottomLeft" state="frozen"/>
      <selection pane="bottomLeft" activeCell="F3" sqref="F3"/>
    </sheetView>
  </sheetViews>
  <sheetFormatPr defaultColWidth="8.7109375" defaultRowHeight="15" customHeight="1" x14ac:dyDescent="0.25"/>
  <cols>
    <col min="1" max="1" width="3" style="3" bestFit="1" customWidth="1"/>
    <col min="2" max="2" width="12.5703125" style="3" bestFit="1" customWidth="1"/>
    <col min="3" max="3" width="13.5703125" style="3" bestFit="1" customWidth="1"/>
    <col min="4" max="4" width="12.85546875" style="3" customWidth="1"/>
    <col min="5" max="5" width="12.5703125" style="3" customWidth="1"/>
    <col min="6" max="6" width="14.28515625" style="3" bestFit="1" customWidth="1"/>
    <col min="7" max="7" width="14.85546875" style="3" bestFit="1" customWidth="1"/>
    <col min="8" max="8" width="16.28515625" style="3" customWidth="1"/>
    <col min="9" max="9" width="16" style="3" customWidth="1"/>
    <col min="10" max="10" width="27.28515625" style="3" customWidth="1"/>
    <col min="11" max="11" width="62.28515625" style="3" bestFit="1" customWidth="1"/>
    <col min="12" max="13" width="12.140625" style="3" customWidth="1"/>
    <col min="14" max="14" width="8.42578125" style="3" bestFit="1" customWidth="1"/>
    <col min="15" max="15" width="10" style="3" bestFit="1" customWidth="1"/>
    <col min="16" max="16" width="78.28515625" style="3" customWidth="1"/>
    <col min="17" max="16384" width="8.7109375" style="3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0" x14ac:dyDescent="0.25">
      <c r="A2" s="3">
        <v>1</v>
      </c>
      <c r="B2" s="3">
        <v>498968</v>
      </c>
      <c r="C2" s="4">
        <v>45161</v>
      </c>
      <c r="D2" s="4">
        <v>44796</v>
      </c>
      <c r="E2" s="4">
        <v>44845</v>
      </c>
      <c r="F2" s="21">
        <f>E2-D2</f>
        <v>49</v>
      </c>
      <c r="G2" s="8" t="s">
        <v>16</v>
      </c>
      <c r="H2" s="8" t="s">
        <v>17</v>
      </c>
      <c r="I2" s="14" t="s">
        <v>18</v>
      </c>
      <c r="J2" s="20" t="s">
        <v>19</v>
      </c>
      <c r="K2" s="9" t="s">
        <v>20</v>
      </c>
      <c r="L2" s="20" t="s">
        <v>21</v>
      </c>
      <c r="M2" s="20"/>
      <c r="N2" s="3">
        <v>43.274999999999999</v>
      </c>
      <c r="O2" s="3">
        <v>-66.376670000000004</v>
      </c>
    </row>
    <row r="3" spans="1:16" x14ac:dyDescent="0.25">
      <c r="A3" s="22">
        <v>2</v>
      </c>
      <c r="B3" s="22">
        <v>498968</v>
      </c>
      <c r="C3" s="23" t="s">
        <v>22</v>
      </c>
      <c r="D3" s="23">
        <v>44796</v>
      </c>
      <c r="E3" s="23">
        <v>44845</v>
      </c>
      <c r="F3" s="27">
        <f>E3-D3</f>
        <v>49</v>
      </c>
      <c r="G3" s="24" t="s">
        <v>23</v>
      </c>
      <c r="H3" s="24" t="s">
        <v>17</v>
      </c>
      <c r="I3" s="28" t="s">
        <v>18</v>
      </c>
      <c r="J3" s="25" t="s">
        <v>19</v>
      </c>
      <c r="K3" s="26" t="s">
        <v>24</v>
      </c>
      <c r="L3" s="26" t="s">
        <v>25</v>
      </c>
      <c r="M3" s="26"/>
      <c r="N3" s="22">
        <v>43.274999999999999</v>
      </c>
      <c r="O3" s="22">
        <v>-66.376670000000004</v>
      </c>
    </row>
    <row r="4" spans="1:16" ht="45.75" customHeight="1" x14ac:dyDescent="0.25">
      <c r="A4" s="3">
        <v>3</v>
      </c>
      <c r="B4" s="12">
        <v>551485</v>
      </c>
      <c r="C4" s="10" t="s">
        <v>22</v>
      </c>
      <c r="D4" s="30">
        <v>44750</v>
      </c>
      <c r="E4" s="30">
        <v>44756</v>
      </c>
      <c r="F4" s="21">
        <f t="shared" ref="F4" si="0">E4-D4</f>
        <v>6</v>
      </c>
      <c r="G4" s="8" t="s">
        <v>26</v>
      </c>
      <c r="H4" s="8" t="s">
        <v>27</v>
      </c>
      <c r="I4" s="8" t="s">
        <v>28</v>
      </c>
      <c r="J4" s="7" t="s">
        <v>29</v>
      </c>
      <c r="K4" s="5" t="s">
        <v>30</v>
      </c>
      <c r="L4" s="5" t="s">
        <v>31</v>
      </c>
      <c r="M4" s="5"/>
      <c r="N4" s="29">
        <v>44.624000000000002</v>
      </c>
      <c r="O4" s="3">
        <v>-66.65133333</v>
      </c>
    </row>
    <row r="5" spans="1:16" ht="30" x14ac:dyDescent="0.25">
      <c r="A5" s="3">
        <v>4</v>
      </c>
      <c r="B5" s="3">
        <v>500597</v>
      </c>
      <c r="C5" s="10" t="s">
        <v>22</v>
      </c>
      <c r="D5" s="30">
        <v>44782</v>
      </c>
      <c r="E5" s="4" t="s">
        <v>32</v>
      </c>
      <c r="F5" s="4" t="s">
        <v>32</v>
      </c>
      <c r="G5" s="3" t="s">
        <v>33</v>
      </c>
      <c r="H5" s="3" t="s">
        <v>17</v>
      </c>
      <c r="I5" s="3" t="s">
        <v>32</v>
      </c>
      <c r="J5" s="11" t="s">
        <v>34</v>
      </c>
      <c r="K5" s="5" t="s">
        <v>35</v>
      </c>
      <c r="L5" s="5"/>
      <c r="M5" s="5">
        <v>500597</v>
      </c>
      <c r="N5" s="29">
        <v>45.165566669999997</v>
      </c>
      <c r="O5" s="3">
        <v>-64.940233329999998</v>
      </c>
      <c r="P5" s="3" t="s">
        <v>36</v>
      </c>
    </row>
    <row r="6" spans="1:16" ht="30" x14ac:dyDescent="0.25">
      <c r="A6" s="3">
        <v>5</v>
      </c>
      <c r="B6" s="6">
        <v>521610</v>
      </c>
      <c r="C6" s="10" t="s">
        <v>37</v>
      </c>
      <c r="D6" s="31" t="s">
        <v>22</v>
      </c>
      <c r="E6" s="4" t="s">
        <v>32</v>
      </c>
      <c r="F6" s="4" t="s">
        <v>32</v>
      </c>
      <c r="G6" s="3" t="s">
        <v>38</v>
      </c>
      <c r="H6" s="3" t="s">
        <v>39</v>
      </c>
      <c r="I6" s="3" t="s">
        <v>32</v>
      </c>
      <c r="J6" s="11" t="s">
        <v>40</v>
      </c>
      <c r="K6" s="5" t="s">
        <v>41</v>
      </c>
      <c r="L6" s="5"/>
      <c r="M6" s="5"/>
      <c r="P6" s="3" t="s">
        <v>42</v>
      </c>
    </row>
    <row r="7" spans="1:16" x14ac:dyDescent="0.25">
      <c r="A7" s="3">
        <v>6</v>
      </c>
      <c r="B7" s="3">
        <v>501916</v>
      </c>
      <c r="C7" s="4" t="s">
        <v>37</v>
      </c>
      <c r="D7" s="32" t="s">
        <v>43</v>
      </c>
      <c r="E7" s="4" t="s">
        <v>32</v>
      </c>
      <c r="F7" s="4" t="s">
        <v>32</v>
      </c>
      <c r="G7" s="3" t="s">
        <v>44</v>
      </c>
      <c r="H7" s="3" t="s">
        <v>45</v>
      </c>
      <c r="I7" s="3" t="s">
        <v>32</v>
      </c>
      <c r="J7" s="11" t="s">
        <v>46</v>
      </c>
      <c r="K7" s="5" t="s">
        <v>47</v>
      </c>
      <c r="L7" s="5"/>
      <c r="M7" s="5"/>
      <c r="P7" s="3" t="s">
        <v>48</v>
      </c>
    </row>
    <row r="8" spans="1:16" x14ac:dyDescent="0.25">
      <c r="A8" s="3">
        <v>7</v>
      </c>
      <c r="B8" s="3">
        <v>577836</v>
      </c>
      <c r="C8" s="4">
        <v>45180</v>
      </c>
      <c r="D8" s="32">
        <v>45175</v>
      </c>
      <c r="E8" s="4">
        <v>45180</v>
      </c>
      <c r="F8" s="21">
        <f t="shared" ref="F8" si="1">E8-D8</f>
        <v>5</v>
      </c>
      <c r="G8" s="3" t="s">
        <v>49</v>
      </c>
      <c r="H8" s="3" t="s">
        <v>17</v>
      </c>
      <c r="I8" s="3" t="s">
        <v>17</v>
      </c>
      <c r="J8" s="7"/>
      <c r="K8" s="5" t="s">
        <v>50</v>
      </c>
      <c r="L8" s="5"/>
      <c r="M8" s="5"/>
      <c r="P8" s="3" t="s">
        <v>51</v>
      </c>
    </row>
    <row r="9" spans="1:16" ht="44.25" customHeight="1" x14ac:dyDescent="0.25">
      <c r="A9" s="3">
        <v>8</v>
      </c>
      <c r="B9" s="3">
        <v>578253</v>
      </c>
      <c r="C9" s="4" t="s">
        <v>52</v>
      </c>
      <c r="D9" s="4" t="s">
        <v>53</v>
      </c>
      <c r="E9" s="4" t="s">
        <v>32</v>
      </c>
      <c r="F9" s="4" t="s">
        <v>32</v>
      </c>
      <c r="G9" s="3" t="s">
        <v>54</v>
      </c>
      <c r="H9" s="3" t="s">
        <v>27</v>
      </c>
      <c r="I9" s="3" t="s">
        <v>32</v>
      </c>
      <c r="J9" s="15" t="s">
        <v>55</v>
      </c>
      <c r="K9" s="5" t="s">
        <v>56</v>
      </c>
      <c r="L9" s="5"/>
      <c r="M9" s="5"/>
      <c r="P9" s="33" t="s">
        <v>57</v>
      </c>
    </row>
    <row r="10" spans="1:16" x14ac:dyDescent="0.25">
      <c r="A10" s="3">
        <v>9</v>
      </c>
      <c r="B10" s="34">
        <v>523326</v>
      </c>
      <c r="C10" s="16">
        <v>45272</v>
      </c>
      <c r="D10" s="16">
        <v>45111</v>
      </c>
      <c r="E10" s="16" t="s">
        <v>32</v>
      </c>
      <c r="F10" s="17" t="s">
        <v>32</v>
      </c>
      <c r="G10" s="17" t="s">
        <v>58</v>
      </c>
      <c r="H10" s="17"/>
      <c r="I10" s="18" t="s">
        <v>32</v>
      </c>
      <c r="J10" s="7" t="s">
        <v>59</v>
      </c>
      <c r="K10" s="3" t="s">
        <v>60</v>
      </c>
    </row>
    <row r="11" spans="1:16" x14ac:dyDescent="0.25">
      <c r="C11" s="4"/>
      <c r="D11" s="4"/>
    </row>
    <row r="12" spans="1:16" x14ac:dyDescent="0.25">
      <c r="C12" s="4"/>
      <c r="D12" s="4"/>
    </row>
    <row r="13" spans="1:16" x14ac:dyDescent="0.25">
      <c r="C13" s="4"/>
      <c r="D13" s="4"/>
    </row>
    <row r="14" spans="1:16" x14ac:dyDescent="0.25">
      <c r="B14" s="19"/>
      <c r="C14"/>
      <c r="D14"/>
      <c r="E14"/>
      <c r="F14"/>
      <c r="G14"/>
      <c r="H14"/>
      <c r="I14"/>
      <c r="J14"/>
      <c r="K14"/>
      <c r="L14"/>
      <c r="M14"/>
      <c r="N14"/>
    </row>
    <row r="15" spans="1:16" x14ac:dyDescent="0.25">
      <c r="C15" s="4"/>
      <c r="D15" s="4"/>
    </row>
    <row r="16" spans="1:16" x14ac:dyDescent="0.25">
      <c r="C16" s="4"/>
      <c r="D16" s="35">
        <f>822/38931*100</f>
        <v>2.111427910919319</v>
      </c>
      <c r="G16" s="36">
        <v>38931</v>
      </c>
    </row>
    <row r="17" spans="3:4" x14ac:dyDescent="0.25">
      <c r="C17" s="13"/>
      <c r="D17" s="13"/>
    </row>
    <row r="18" spans="3:4" x14ac:dyDescent="0.25">
      <c r="C18" s="13"/>
      <c r="D18" s="13"/>
    </row>
    <row r="19" spans="3:4" x14ac:dyDescent="0.25">
      <c r="C19" s="13"/>
      <c r="D19" s="13"/>
    </row>
  </sheetData>
  <sortState xmlns:xlrd2="http://schemas.microsoft.com/office/spreadsheetml/2017/richdata2" ref="A2:T20">
    <sortCondition ref="A2:A20"/>
  </sortState>
  <hyperlinks>
    <hyperlink ref="J3" r:id="rId1" xr:uid="{A9C2E243-B01B-4EE9-98F0-56F0376439DA}"/>
    <hyperlink ref="J4" r:id="rId2" xr:uid="{0BC6B811-761D-47EA-940C-2BD2273E03DE}"/>
    <hyperlink ref="J5" r:id="rId3" xr:uid="{C8C73F0C-D00C-43D1-9AC0-55F7233A147E}"/>
    <hyperlink ref="J6" r:id="rId4" xr:uid="{CAE1A24D-3A37-4446-92D1-41330F9F62FE}"/>
    <hyperlink ref="J7" r:id="rId5" xr:uid="{9A2A2152-DDC6-42F4-A287-3E58729A8390}"/>
    <hyperlink ref="J9" r:id="rId6" xr:uid="{09EADA36-8DF4-4E1E-B589-F5B5F04C22A5}"/>
    <hyperlink ref="J10" r:id="rId7" xr:uid="{44233321-D08E-45CA-96DF-0B95E2194E98}"/>
  </hyperlinks>
  <pageMargins left="0.7" right="0.7" top="0.75" bottom="0.75" header="0.3" footer="0.3"/>
  <pageSetup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701533E8-830B-4404-9C81-09A35A3520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E34C5A-4298-4748-9C52-1272D5DC3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5ca5b-4450-4fec-8212-75ae51eef6c9"/>
    <ds:schemaRef ds:uri="9b77705d-b477-4602-ae15-a5316c12e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AC79C7-2EDB-4E58-AB6B-F49761D2C88D}">
  <ds:schemaRefs>
    <ds:schemaRef ds:uri="http://schemas.microsoft.com/office/2006/metadata/properties"/>
    <ds:schemaRef ds:uri="http://schemas.microsoft.com/office/infopath/2007/PartnerControls"/>
    <ds:schemaRef ds:uri="aa15ca5b-4450-4fec-8212-75ae51eef6c9"/>
    <ds:schemaRef ds:uri="9b77705d-b477-4602-ae15-a5316c12e6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Herring Science</dc:creator>
  <cp:keywords/>
  <dc:description/>
  <cp:lastModifiedBy>Tracey Leask</cp:lastModifiedBy>
  <cp:revision/>
  <dcterms:created xsi:type="dcterms:W3CDTF">2017-02-02T13:54:29Z</dcterms:created>
  <dcterms:modified xsi:type="dcterms:W3CDTF">2024-10-28T14:46:53Z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