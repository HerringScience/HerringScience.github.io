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060cfe020e9e8c4/Documents/GitHub/HerringScience.github.io/Source Data/Tagging/Acoustic/"/>
    </mc:Choice>
  </mc:AlternateContent>
  <xr:revisionPtr revIDLastSave="95" documentId="8_{1D017794-9FAA-4126-A961-0C6CB1D2C2BA}" xr6:coauthVersionLast="47" xr6:coauthVersionMax="47" xr10:uidLastSave="{01072AB5-C39C-4283-B2FB-5A5882AC2D9F}"/>
  <bookViews>
    <workbookView xWindow="-110" yWindow="-110" windowWidth="25820" windowHeight="15500" activeTab="1" xr2:uid="{BB4111AC-1BFF-466B-9CE8-2EB8EAE3DAF1}"/>
  </bookViews>
  <sheets>
    <sheet name="Lines" sheetId="2" r:id="rId1"/>
    <sheet name="Lines (2)" sheetId="5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5" l="1"/>
  <c r="G5" i="5" s="1"/>
  <c r="F5" i="5"/>
  <c r="H5" i="5" s="1"/>
  <c r="I5" i="5" s="1"/>
  <c r="E6" i="5"/>
  <c r="G6" i="5" s="1"/>
  <c r="F6" i="5"/>
  <c r="H6" i="5" s="1"/>
  <c r="I6" i="5" s="1"/>
  <c r="E7" i="5"/>
  <c r="G7" i="5" s="1"/>
  <c r="F7" i="5"/>
  <c r="H7" i="5" s="1"/>
  <c r="I7" i="5" s="1"/>
  <c r="E8" i="5"/>
  <c r="G8" i="5" s="1"/>
  <c r="F8" i="5"/>
  <c r="H8" i="5" s="1"/>
  <c r="I8" i="5" s="1"/>
  <c r="E9" i="5"/>
  <c r="G9" i="5" s="1"/>
  <c r="F9" i="5"/>
  <c r="H9" i="5" s="1"/>
  <c r="I9" i="5" s="1"/>
  <c r="E10" i="5"/>
  <c r="G10" i="5" s="1"/>
  <c r="F10" i="5"/>
  <c r="H10" i="5" s="1"/>
  <c r="I10" i="5" s="1"/>
  <c r="E11" i="5"/>
  <c r="G11" i="5" s="1"/>
  <c r="F11" i="5"/>
  <c r="H11" i="5" s="1"/>
  <c r="I11" i="5" s="1"/>
  <c r="E12" i="5"/>
  <c r="G12" i="5" s="1"/>
  <c r="F12" i="5"/>
  <c r="H12" i="5" s="1"/>
  <c r="I12" i="5" s="1"/>
  <c r="E13" i="5"/>
  <c r="G13" i="5" s="1"/>
  <c r="F13" i="5"/>
  <c r="H13" i="5" s="1"/>
  <c r="I13" i="5" s="1"/>
  <c r="E14" i="5"/>
  <c r="G14" i="5" s="1"/>
  <c r="F14" i="5"/>
  <c r="H14" i="5" s="1"/>
  <c r="I14" i="5" s="1"/>
  <c r="E15" i="5"/>
  <c r="G15" i="5" s="1"/>
  <c r="F15" i="5"/>
  <c r="H15" i="5" s="1"/>
  <c r="I15" i="5" s="1"/>
  <c r="E16" i="5"/>
  <c r="G16" i="5" s="1"/>
  <c r="F16" i="5"/>
  <c r="H16" i="5" s="1"/>
  <c r="I16" i="5" s="1"/>
  <c r="E17" i="5"/>
  <c r="G17" i="5" s="1"/>
  <c r="F17" i="5"/>
  <c r="H17" i="5" s="1"/>
  <c r="I17" i="5" s="1"/>
  <c r="E18" i="5"/>
  <c r="G18" i="5" s="1"/>
  <c r="F18" i="5"/>
  <c r="H18" i="5" s="1"/>
  <c r="I18" i="5" s="1"/>
  <c r="E19" i="5"/>
  <c r="G19" i="5" s="1"/>
  <c r="F19" i="5"/>
  <c r="H19" i="5" s="1"/>
  <c r="I19" i="5" s="1"/>
  <c r="E20" i="5"/>
  <c r="G20" i="5" s="1"/>
  <c r="F20" i="5"/>
  <c r="H20" i="5" s="1"/>
  <c r="I20" i="5" s="1"/>
  <c r="E21" i="5"/>
  <c r="G21" i="5" s="1"/>
  <c r="F21" i="5"/>
  <c r="H21" i="5" s="1"/>
  <c r="I21" i="5" s="1"/>
  <c r="E22" i="5"/>
  <c r="G22" i="5" s="1"/>
  <c r="F22" i="5"/>
  <c r="H22" i="5" s="1"/>
  <c r="I22" i="5" s="1"/>
  <c r="E23" i="5"/>
  <c r="G23" i="5" s="1"/>
  <c r="F23" i="5"/>
  <c r="H23" i="5" s="1"/>
  <c r="I23" i="5" s="1"/>
  <c r="E24" i="5"/>
  <c r="G24" i="5" s="1"/>
  <c r="F24" i="5"/>
  <c r="H24" i="5" s="1"/>
  <c r="I24" i="5" s="1"/>
  <c r="E25" i="5"/>
  <c r="G25" i="5" s="1"/>
  <c r="F25" i="5"/>
  <c r="H25" i="5" s="1"/>
  <c r="I25" i="5" s="1"/>
  <c r="E26" i="5"/>
  <c r="G26" i="5" s="1"/>
  <c r="F26" i="5"/>
  <c r="H26" i="5" s="1"/>
  <c r="I26" i="5" s="1"/>
  <c r="E27" i="5"/>
  <c r="G27" i="5" s="1"/>
  <c r="F27" i="5"/>
  <c r="H27" i="5" s="1"/>
  <c r="I27" i="5" s="1"/>
  <c r="E28" i="5"/>
  <c r="G28" i="5" s="1"/>
  <c r="F28" i="5"/>
  <c r="H28" i="5" s="1"/>
  <c r="I28" i="5" s="1"/>
  <c r="E29" i="5"/>
  <c r="G29" i="5" s="1"/>
  <c r="F29" i="5"/>
  <c r="H29" i="5" s="1"/>
  <c r="I29" i="5" s="1"/>
  <c r="E30" i="5"/>
  <c r="G30" i="5" s="1"/>
  <c r="F30" i="5"/>
  <c r="H30" i="5" s="1"/>
  <c r="I30" i="5" s="1"/>
  <c r="E31" i="5"/>
  <c r="G31" i="5" s="1"/>
  <c r="F31" i="5"/>
  <c r="H31" i="5" s="1"/>
  <c r="I31" i="5" s="1"/>
  <c r="E32" i="5"/>
  <c r="G32" i="5" s="1"/>
  <c r="F32" i="5"/>
  <c r="H32" i="5" s="1"/>
  <c r="I32" i="5" s="1"/>
  <c r="E33" i="5"/>
  <c r="G33" i="5" s="1"/>
  <c r="F33" i="5"/>
  <c r="H33" i="5" s="1"/>
  <c r="I33" i="5" s="1"/>
  <c r="E34" i="5"/>
  <c r="G34" i="5" s="1"/>
  <c r="F34" i="5"/>
  <c r="H34" i="5" s="1"/>
  <c r="I34" i="5" s="1"/>
  <c r="E35" i="5"/>
  <c r="G35" i="5" s="1"/>
  <c r="F35" i="5"/>
  <c r="H35" i="5" s="1"/>
  <c r="I35" i="5" s="1"/>
  <c r="E36" i="5"/>
  <c r="G36" i="5" s="1"/>
  <c r="F36" i="5"/>
  <c r="H36" i="5" s="1"/>
  <c r="I36" i="5" s="1"/>
  <c r="E37" i="5"/>
  <c r="G37" i="5" s="1"/>
  <c r="F37" i="5"/>
  <c r="H37" i="5" s="1"/>
  <c r="I37" i="5" s="1"/>
  <c r="E38" i="5"/>
  <c r="G38" i="5" s="1"/>
  <c r="F38" i="5"/>
  <c r="H38" i="5" s="1"/>
  <c r="I38" i="5" s="1"/>
  <c r="E30" i="2"/>
  <c r="F30" i="2"/>
  <c r="G30" i="2" s="1"/>
  <c r="E31" i="2"/>
  <c r="F31" i="2"/>
  <c r="G31" i="2" s="1"/>
  <c r="E32" i="2"/>
  <c r="F32" i="2"/>
  <c r="G32" i="2" s="1"/>
  <c r="E33" i="2"/>
  <c r="F33" i="2"/>
  <c r="G33" i="2" s="1"/>
  <c r="E34" i="2"/>
  <c r="F34" i="2"/>
  <c r="G34" i="2" s="1"/>
  <c r="E35" i="2"/>
  <c r="F35" i="2"/>
  <c r="G35" i="2"/>
  <c r="E36" i="2"/>
  <c r="F36" i="2"/>
  <c r="G36" i="2" s="1"/>
  <c r="E37" i="2"/>
  <c r="F37" i="2"/>
  <c r="G37" i="2" s="1"/>
  <c r="F3" i="5"/>
  <c r="H3" i="5" s="1"/>
  <c r="I3" i="5" s="1"/>
  <c r="F4" i="5"/>
  <c r="H4" i="5" s="1"/>
  <c r="I4" i="5" s="1"/>
  <c r="F2" i="5"/>
  <c r="H2" i="5" s="1"/>
  <c r="I2" i="5" s="1"/>
  <c r="E3" i="5"/>
  <c r="G3" i="5" s="1"/>
  <c r="E4" i="5"/>
  <c r="G4" i="5" s="1"/>
  <c r="E2" i="5"/>
  <c r="G2" i="5" s="1"/>
  <c r="H70" i="5"/>
  <c r="I70" i="5" s="1"/>
  <c r="G70" i="5"/>
  <c r="H69" i="5"/>
  <c r="I69" i="5" s="1"/>
  <c r="G69" i="5"/>
  <c r="H68" i="5"/>
  <c r="I68" i="5" s="1"/>
  <c r="G68" i="5"/>
  <c r="H67" i="5"/>
  <c r="I67" i="5" s="1"/>
  <c r="G67" i="5"/>
  <c r="H66" i="5"/>
  <c r="I66" i="5" s="1"/>
  <c r="G66" i="5"/>
  <c r="H65" i="5"/>
  <c r="I65" i="5" s="1"/>
  <c r="G65" i="5"/>
  <c r="H64" i="5"/>
  <c r="I64" i="5" s="1"/>
  <c r="G64" i="5"/>
  <c r="H63" i="5"/>
  <c r="I63" i="5" s="1"/>
  <c r="G63" i="5"/>
  <c r="H62" i="5"/>
  <c r="I62" i="5" s="1"/>
  <c r="G62" i="5"/>
  <c r="H61" i="5"/>
  <c r="I61" i="5" s="1"/>
  <c r="G61" i="5"/>
  <c r="H60" i="5"/>
  <c r="I60" i="5" s="1"/>
  <c r="G60" i="5"/>
  <c r="H59" i="5"/>
  <c r="I59" i="5" s="1"/>
  <c r="G59" i="5"/>
  <c r="H58" i="5"/>
  <c r="I58" i="5" s="1"/>
  <c r="G58" i="5"/>
  <c r="H57" i="5"/>
  <c r="I57" i="5" s="1"/>
  <c r="G57" i="5"/>
  <c r="H56" i="5"/>
  <c r="I56" i="5" s="1"/>
  <c r="G56" i="5"/>
  <c r="H55" i="5"/>
  <c r="I55" i="5" s="1"/>
  <c r="G55" i="5"/>
  <c r="H54" i="5"/>
  <c r="I54" i="5" s="1"/>
  <c r="G54" i="5"/>
  <c r="H53" i="5"/>
  <c r="I53" i="5" s="1"/>
  <c r="G53" i="5"/>
  <c r="H52" i="5"/>
  <c r="I52" i="5" s="1"/>
  <c r="G52" i="5"/>
  <c r="H51" i="5"/>
  <c r="I51" i="5" s="1"/>
  <c r="G51" i="5"/>
  <c r="E7" i="2"/>
  <c r="F7" i="2"/>
  <c r="G7" i="2" s="1"/>
  <c r="E8" i="2"/>
  <c r="F8" i="2"/>
  <c r="G8" i="2" s="1"/>
  <c r="E9" i="2"/>
  <c r="F9" i="2"/>
  <c r="G9" i="2" s="1"/>
  <c r="E10" i="2"/>
  <c r="F10" i="2"/>
  <c r="G10" i="2" s="1"/>
  <c r="E11" i="2"/>
  <c r="F11" i="2"/>
  <c r="G11" i="2" s="1"/>
  <c r="E12" i="2"/>
  <c r="F12" i="2"/>
  <c r="G12" i="2" s="1"/>
  <c r="E13" i="2"/>
  <c r="F13" i="2"/>
  <c r="G13" i="2" s="1"/>
  <c r="E14" i="2"/>
  <c r="F14" i="2"/>
  <c r="G14" i="2" s="1"/>
  <c r="E15" i="2"/>
  <c r="F15" i="2"/>
  <c r="G15" i="2" s="1"/>
  <c r="E16" i="2"/>
  <c r="F16" i="2"/>
  <c r="G16" i="2" s="1"/>
  <c r="E17" i="2"/>
  <c r="F17" i="2"/>
  <c r="G17" i="2" s="1"/>
  <c r="E18" i="2"/>
  <c r="F18" i="2"/>
  <c r="G18" i="2" s="1"/>
  <c r="E19" i="2"/>
  <c r="F19" i="2"/>
  <c r="G19" i="2" s="1"/>
  <c r="E20" i="2"/>
  <c r="F20" i="2"/>
  <c r="G20" i="2" s="1"/>
  <c r="E21" i="2"/>
  <c r="F21" i="2"/>
  <c r="G21" i="2" s="1"/>
  <c r="E22" i="2"/>
  <c r="F22" i="2"/>
  <c r="G22" i="2"/>
  <c r="E23" i="2"/>
  <c r="F23" i="2"/>
  <c r="G23" i="2"/>
  <c r="E24" i="2"/>
  <c r="F24" i="2"/>
  <c r="G24" i="2"/>
  <c r="E25" i="2"/>
  <c r="F25" i="2"/>
  <c r="G25" i="2"/>
  <c r="E26" i="2"/>
  <c r="F26" i="2"/>
  <c r="G26" i="2"/>
  <c r="E27" i="2"/>
  <c r="F27" i="2"/>
  <c r="G27" i="2"/>
  <c r="E28" i="2"/>
  <c r="F28" i="2"/>
  <c r="G28" i="2"/>
  <c r="E29" i="2"/>
  <c r="F29" i="2"/>
  <c r="G29" i="2" s="1"/>
  <c r="E38" i="2"/>
  <c r="F38" i="2"/>
  <c r="G38" i="2"/>
  <c r="E60" i="2"/>
  <c r="F60" i="2"/>
  <c r="G60" i="2" s="1"/>
  <c r="E61" i="2"/>
  <c r="F61" i="2"/>
  <c r="G61" i="2" s="1"/>
  <c r="E62" i="2"/>
  <c r="F62" i="2"/>
  <c r="G62" i="2" s="1"/>
  <c r="E63" i="2"/>
  <c r="F63" i="2"/>
  <c r="G63" i="2" s="1"/>
  <c r="E64" i="2"/>
  <c r="F64" i="2"/>
  <c r="G64" i="2" s="1"/>
  <c r="E65" i="2"/>
  <c r="F65" i="2"/>
  <c r="G65" i="2" s="1"/>
  <c r="E66" i="2"/>
  <c r="F66" i="2"/>
  <c r="G66" i="2" s="1"/>
  <c r="E67" i="2"/>
  <c r="F67" i="2"/>
  <c r="G67" i="2" s="1"/>
  <c r="E68" i="2"/>
  <c r="F68" i="2"/>
  <c r="G68" i="2" s="1"/>
  <c r="E69" i="2"/>
  <c r="F69" i="2"/>
  <c r="G69" i="2" s="1"/>
  <c r="E70" i="2"/>
  <c r="F70" i="2"/>
  <c r="G70" i="2" s="1"/>
  <c r="E51" i="2" l="1"/>
  <c r="F51" i="2"/>
  <c r="G51" i="2" s="1"/>
  <c r="E52" i="2"/>
  <c r="F52" i="2"/>
  <c r="G52" i="2" s="1"/>
  <c r="E53" i="2"/>
  <c r="F53" i="2"/>
  <c r="G53" i="2" s="1"/>
  <c r="E54" i="2"/>
  <c r="F54" i="2"/>
  <c r="G54" i="2" s="1"/>
  <c r="E55" i="2"/>
  <c r="F55" i="2"/>
  <c r="G55" i="2" s="1"/>
  <c r="E56" i="2"/>
  <c r="F56" i="2"/>
  <c r="G56" i="2" s="1"/>
  <c r="E57" i="2"/>
  <c r="F57" i="2"/>
  <c r="G57" i="2" s="1"/>
  <c r="E58" i="2"/>
  <c r="F58" i="2"/>
  <c r="G58" i="2" s="1"/>
  <c r="E59" i="2"/>
  <c r="F59" i="2"/>
  <c r="G59" i="2" s="1"/>
  <c r="F6" i="2" l="1"/>
  <c r="G6" i="2" s="1"/>
  <c r="E6" i="2" l="1"/>
  <c r="F5" i="2"/>
  <c r="G5" i="2" s="1"/>
  <c r="E5" i="2"/>
  <c r="F4" i="2"/>
  <c r="G4" i="2" s="1"/>
  <c r="E4" i="2"/>
  <c r="F3" i="2"/>
  <c r="G3" i="2" s="1"/>
  <c r="E3" i="2"/>
  <c r="F2" i="2"/>
  <c r="G2" i="2" s="1"/>
  <c r="E2" i="2"/>
</calcChain>
</file>

<file path=xl/sharedStrings.xml><?xml version="1.0" encoding="utf-8"?>
<sst xmlns="http://schemas.openxmlformats.org/spreadsheetml/2006/main" count="59" uniqueCount="31">
  <si>
    <t>Ground</t>
  </si>
  <si>
    <t>Lat</t>
  </si>
  <si>
    <t xml:space="preserve"> Lon</t>
  </si>
  <si>
    <t>Lat_</t>
  </si>
  <si>
    <t>Lon_</t>
  </si>
  <si>
    <t>Offshore</t>
  </si>
  <si>
    <t>Shelburne</t>
  </si>
  <si>
    <t>Date</t>
  </si>
  <si>
    <t>44.13.00</t>
  </si>
  <si>
    <t>62.23.00</t>
  </si>
  <si>
    <t>44.14.00</t>
  </si>
  <si>
    <t>62.21.00</t>
  </si>
  <si>
    <t>44 18.99</t>
  </si>
  <si>
    <t>62 16.1</t>
  </si>
  <si>
    <t>44 17.2</t>
  </si>
  <si>
    <t>62 27.0</t>
  </si>
  <si>
    <t>44 11.1</t>
  </si>
  <si>
    <t>62 20.8</t>
  </si>
  <si>
    <t>44 18.6</t>
  </si>
  <si>
    <t>62 13.4</t>
  </si>
  <si>
    <t>44 12.5</t>
  </si>
  <si>
    <t>62 25.4</t>
  </si>
  <si>
    <t>44.12.05</t>
  </si>
  <si>
    <t>62.23.01</t>
  </si>
  <si>
    <t>44.20.09</t>
  </si>
  <si>
    <t>61.37.53</t>
  </si>
  <si>
    <t>44.20.69</t>
  </si>
  <si>
    <t>61.35.39</t>
  </si>
  <si>
    <t>44.06.56</t>
  </si>
  <si>
    <t>44.07.77</t>
  </si>
  <si>
    <t>62.02.62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</si>
</sst>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"/>
  </numFmts>
  <fonts count="7" x14ac:knownFonts="1">
    <font>
      <sz val="11"/>
      <color theme="1"/>
      <name val="Calibri"/>
      <family val="2"/>
      <scheme val="minor"/>
    </font>
    <font>
      <sz val="10"/>
      <name val="Verdana"/>
      <family val="2"/>
    </font>
    <font>
      <sz val="11"/>
      <color rgb="FF1F497D"/>
      <name val="Calibri"/>
      <family val="2"/>
    </font>
    <font>
      <sz val="11"/>
      <name val="Calibri"/>
      <family val="2"/>
      <scheme val="minor"/>
    </font>
    <font>
      <sz val="11"/>
      <name val="Calibri"/>
      <family val="2"/>
    </font>
    <font>
      <sz val="10"/>
      <color theme="1"/>
      <name val="Calibri"/>
      <family val="2"/>
      <scheme val="minor"/>
    </font>
    <font>
      <sz val="7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165" fontId="0" fillId="0" borderId="0" xfId="0" applyNumberFormat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 vertical="center"/>
    </xf>
    <xf numFmtId="164" fontId="4" fillId="2" borderId="0" xfId="0" applyNumberFormat="1" applyFont="1" applyFill="1" applyAlignment="1">
      <alignment horizontal="left" vertical="center"/>
    </xf>
    <xf numFmtId="165" fontId="3" fillId="2" borderId="0" xfId="0" applyNumberFormat="1" applyFont="1" applyFill="1" applyAlignment="1">
      <alignment horizontal="left"/>
    </xf>
    <xf numFmtId="0" fontId="0" fillId="3" borderId="0" xfId="0" applyFill="1" applyAlignment="1">
      <alignment horizontal="left"/>
    </xf>
    <xf numFmtId="14" fontId="0" fillId="3" borderId="0" xfId="0" applyNumberFormat="1" applyFill="1"/>
    <xf numFmtId="14" fontId="0" fillId="0" borderId="0" xfId="0" applyNumberFormat="1"/>
    <xf numFmtId="0" fontId="5" fillId="0" borderId="0" xfId="0" applyFont="1" applyAlignment="1">
      <alignment horizontal="left"/>
    </xf>
    <xf numFmtId="0" fontId="6" fillId="0" borderId="0" xfId="0" applyFont="1" applyAlignment="1">
      <alignment vertical="center"/>
    </xf>
    <xf numFmtId="2" fontId="0" fillId="3" borderId="0" xfId="0" applyNumberFormat="1" applyFill="1"/>
    <xf numFmtId="2" fontId="0" fillId="0" borderId="0" xfId="0" applyNumberFormat="1"/>
    <xf numFmtId="2" fontId="0" fillId="3" borderId="0" xfId="0" applyNumberFormat="1" applyFill="1" applyAlignment="1">
      <alignment horizontal="left"/>
    </xf>
    <xf numFmtId="2" fontId="0" fillId="0" borderId="0" xfId="0" applyNumberFormat="1" applyAlignment="1">
      <alignment horizontal="left"/>
    </xf>
  </cellXfs>
  <cellStyles count="2">
    <cellStyle name="Normal" xfId="0" builtinId="0"/>
    <cellStyle name="Normal 2" xfId="1" xr:uid="{6B0DBB19-1654-485D-AB03-3FF1C131D65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40E81-04AD-4E80-8B89-E0BD473BB51A}">
  <dimension ref="A1:G70"/>
  <sheetViews>
    <sheetView topLeftCell="A22" zoomScale="160" zoomScaleNormal="160" workbookViewId="0">
      <selection activeCell="G30" sqref="G30:G34"/>
    </sheetView>
  </sheetViews>
  <sheetFormatPr defaultColWidth="8.81640625" defaultRowHeight="14.5" x14ac:dyDescent="0.35"/>
  <cols>
    <col min="1" max="1" width="10.453125" style="2" bestFit="1" customWidth="1"/>
    <col min="2" max="2" width="10.453125" style="2" customWidth="1"/>
    <col min="3" max="4" width="11.453125" style="2" bestFit="1" customWidth="1"/>
    <col min="5" max="5" width="8.81640625" style="3"/>
    <col min="6" max="6" width="8.81640625" style="3" customWidth="1"/>
    <col min="7" max="7" width="9.26953125" style="3" bestFit="1" customWidth="1"/>
    <col min="8" max="16384" width="8.81640625" style="2"/>
  </cols>
  <sheetData>
    <row r="1" spans="1:7" x14ac:dyDescent="0.35">
      <c r="A1" s="2" t="s">
        <v>0</v>
      </c>
      <c r="B1" s="2" t="s">
        <v>7</v>
      </c>
      <c r="C1" s="2" t="s">
        <v>1</v>
      </c>
      <c r="D1" s="2" t="s">
        <v>2</v>
      </c>
      <c r="E1" s="3" t="s">
        <v>3</v>
      </c>
      <c r="F1" s="3" t="s">
        <v>4</v>
      </c>
    </row>
    <row r="2" spans="1:7" x14ac:dyDescent="0.35">
      <c r="A2" s="4" t="s">
        <v>5</v>
      </c>
      <c r="B2" s="9">
        <v>45090</v>
      </c>
      <c r="C2" s="5">
        <v>4358.8999999999996</v>
      </c>
      <c r="D2" s="6">
        <v>6223.5</v>
      </c>
      <c r="E2" s="7">
        <f>IF(LEN(C2)=4,(LEFT(C2,2))+((RIGHT(C2,2))/60),IF(LEN(C2)=6,(LEFT(C2,2))+((RIGHT(C2,4))/60),IF(LEN(C2)=7,(LEFT(C2,2))+((RIGHT(C2,5))/60),IF(LEN(C2)=8,(LEFT(C2,2))+((RIGHT(C2,6))/60),IF(LEN(C2)=9,(LEFT(C2,2))+((RIGHT(C2,7))/60),0)))))</f>
        <v>43.981666666666669</v>
      </c>
      <c r="F2" s="7">
        <f t="shared" ref="F2:F5" si="0">IF(LEN(D2)=4,(LEFT(D2,2))+((RIGHT(D2,2))/60),IF(LEN(D2)=6,(LEFT(D2,2))+((RIGHT(D2,4))/60),IF(LEN(D2)=7,(LEFT(D2,2))+((RIGHT(D2,5))/60),IF(LEN(D2)=8,(LEFT(D2,2))+((RIGHT(D2,6))/60),IF(LEN(D2)=9,(LEFT(D2,2))+((RIGHT(D2,7))/60),0)))))</f>
        <v>62.391666666666666</v>
      </c>
      <c r="G2" s="7">
        <f t="shared" ref="G2:G4" si="1">F2*-1</f>
        <v>-62.391666666666666</v>
      </c>
    </row>
    <row r="3" spans="1:7" x14ac:dyDescent="0.35">
      <c r="A3" s="4" t="s">
        <v>5</v>
      </c>
      <c r="B3" s="9">
        <v>45090</v>
      </c>
      <c r="C3" s="5">
        <v>4413.7</v>
      </c>
      <c r="D3" s="6">
        <v>6221.5</v>
      </c>
      <c r="E3" s="7">
        <f t="shared" ref="E3:E21" si="2">IF(LEN(C3)=4,(LEFT(C3,2))+((RIGHT(C3,2))/60),IF(LEN(C3)=6,(LEFT(C3,2))+((RIGHT(C3,4))/60),IF(LEN(C3)=7,(LEFT(C3,2))+((RIGHT(C3,5))/60),IF(LEN(C3)=8,(LEFT(C3,2))+((RIGHT(C3,6))/60),IF(LEN(C3)=9,(LEFT(C3,2))+((RIGHT(C3,7))/60),0)))))</f>
        <v>44.228333333333332</v>
      </c>
      <c r="F3" s="7">
        <f t="shared" si="0"/>
        <v>62.358333333333334</v>
      </c>
      <c r="G3" s="7">
        <f t="shared" si="1"/>
        <v>-62.358333333333334</v>
      </c>
    </row>
    <row r="4" spans="1:7" x14ac:dyDescent="0.35">
      <c r="A4" s="4" t="s">
        <v>5</v>
      </c>
      <c r="B4" s="9">
        <v>45098</v>
      </c>
      <c r="C4" s="5">
        <v>4410</v>
      </c>
      <c r="D4" s="6">
        <v>6112.3</v>
      </c>
      <c r="E4" s="7">
        <f t="shared" si="2"/>
        <v>44.166666666666664</v>
      </c>
      <c r="F4" s="7">
        <f t="shared" si="0"/>
        <v>61.204999999999998</v>
      </c>
      <c r="G4" s="7">
        <f t="shared" si="1"/>
        <v>-61.204999999999998</v>
      </c>
    </row>
    <row r="5" spans="1:7" x14ac:dyDescent="0.35">
      <c r="A5" s="4" t="s">
        <v>5</v>
      </c>
      <c r="B5" s="9">
        <v>45109</v>
      </c>
      <c r="C5" s="5">
        <v>4339.3999999999996</v>
      </c>
      <c r="D5" s="6">
        <v>6225.5</v>
      </c>
      <c r="E5" s="7">
        <f t="shared" si="2"/>
        <v>43.656666666666666</v>
      </c>
      <c r="F5" s="7">
        <f t="shared" si="0"/>
        <v>62.424999999999997</v>
      </c>
      <c r="G5" s="7">
        <f>F5*-1</f>
        <v>-62.424999999999997</v>
      </c>
    </row>
    <row r="6" spans="1:7" x14ac:dyDescent="0.35">
      <c r="A6" s="4" t="s">
        <v>6</v>
      </c>
      <c r="B6" s="9">
        <v>45110</v>
      </c>
      <c r="C6" s="5">
        <v>4413.3999999999996</v>
      </c>
      <c r="D6" s="6">
        <v>6221.4</v>
      </c>
      <c r="E6" s="7">
        <f t="shared" si="2"/>
        <v>44.223333333333336</v>
      </c>
      <c r="F6" s="7">
        <f t="shared" ref="F6:F21" si="3">IF(LEN(D6)=4,(LEFT(D6,2))+((RIGHT(D6,2))/60),IF(LEN(D6)=6,(LEFT(D6,2))+((RIGHT(D6,4))/60),IF(LEN(D6)=7,(LEFT(D6,2))+((RIGHT(D6,5))/60),IF(LEN(D6)=8,(LEFT(D6,2))+((RIGHT(D6,6))/60),IF(LEN(D6)=9,(LEFT(D6,2))+((RIGHT(D6,7))/60),0)))))</f>
        <v>62.356666666666669</v>
      </c>
      <c r="G6" s="7">
        <f t="shared" ref="G6:G57" si="4">F6*-1</f>
        <v>-62.356666666666669</v>
      </c>
    </row>
    <row r="7" spans="1:7" x14ac:dyDescent="0.35">
      <c r="A7" s="4" t="s">
        <v>5</v>
      </c>
      <c r="B7" s="10">
        <v>44732</v>
      </c>
      <c r="C7" s="11">
        <v>4418.7</v>
      </c>
      <c r="D7" s="2">
        <v>6216.9</v>
      </c>
      <c r="E7" s="7">
        <f t="shared" ref="E7:E38" si="5">IF(LEN(C7)=4,(LEFT(C7,2))+((RIGHT(C7,2))/60),IF(LEN(C7)=6,(LEFT(C7,2))+((RIGHT(C7,4))/60),IF(LEN(C7)=7,(LEFT(C7,2))+((RIGHT(C7,5))/60),IF(LEN(C7)=8,(LEFT(C7,2))+((RIGHT(C7,6))/60),IF(LEN(C7)=9,(LEFT(C7,2))+((RIGHT(C7,7))/60),0)))))</f>
        <v>44.311666666666667</v>
      </c>
      <c r="F7" s="7">
        <f t="shared" ref="F7:F38" si="6">IF(LEN(D7)=4,(LEFT(D7,2))+((RIGHT(D7,2))/60),IF(LEN(D7)=6,(LEFT(D7,2))+((RIGHT(D7,4))/60),IF(LEN(D7)=7,(LEFT(D7,2))+((RIGHT(D7,5))/60),IF(LEN(D7)=8,(LEFT(D7,2))+((RIGHT(D7,6))/60),IF(LEN(D7)=9,(LEFT(D7,2))+((RIGHT(D7,7))/60),0)))))</f>
        <v>62.281666666666666</v>
      </c>
      <c r="G7" s="7">
        <f t="shared" ref="G7:G38" si="7">F7*-1</f>
        <v>-62.281666666666666</v>
      </c>
    </row>
    <row r="8" spans="1:7" x14ac:dyDescent="0.35">
      <c r="A8" s="4" t="s">
        <v>5</v>
      </c>
      <c r="B8" s="10">
        <v>44734</v>
      </c>
      <c r="C8" s="2">
        <v>4419</v>
      </c>
      <c r="D8" s="2">
        <v>6219.9</v>
      </c>
      <c r="E8" s="7">
        <f t="shared" si="5"/>
        <v>44.31666666666667</v>
      </c>
      <c r="F8" s="7">
        <f t="shared" si="6"/>
        <v>62.331666666666663</v>
      </c>
      <c r="G8" s="7">
        <f t="shared" si="7"/>
        <v>-62.331666666666663</v>
      </c>
    </row>
    <row r="9" spans="1:7" x14ac:dyDescent="0.35">
      <c r="A9" s="4" t="s">
        <v>5</v>
      </c>
      <c r="B9" s="10">
        <v>44735</v>
      </c>
      <c r="C9" s="2">
        <v>4415</v>
      </c>
      <c r="D9" s="2">
        <v>6230.6</v>
      </c>
      <c r="E9" s="7">
        <f t="shared" si="5"/>
        <v>44.25</v>
      </c>
      <c r="F9" s="7">
        <f t="shared" si="6"/>
        <v>62.51</v>
      </c>
      <c r="G9" s="7">
        <f t="shared" si="7"/>
        <v>-62.51</v>
      </c>
    </row>
    <row r="10" spans="1:7" x14ac:dyDescent="0.35">
      <c r="A10" s="4" t="s">
        <v>5</v>
      </c>
      <c r="B10" s="10">
        <v>44736</v>
      </c>
      <c r="C10" s="2">
        <v>4418.5</v>
      </c>
      <c r="D10" s="2">
        <v>6216.3</v>
      </c>
      <c r="E10" s="7">
        <f t="shared" si="5"/>
        <v>44.30833333333333</v>
      </c>
      <c r="F10" s="7">
        <f t="shared" si="6"/>
        <v>62.271666666666668</v>
      </c>
      <c r="G10" s="7">
        <f t="shared" si="7"/>
        <v>-62.271666666666668</v>
      </c>
    </row>
    <row r="11" spans="1:7" x14ac:dyDescent="0.35">
      <c r="A11" s="4" t="s">
        <v>5</v>
      </c>
      <c r="B11" s="10">
        <v>44739</v>
      </c>
      <c r="C11" s="2">
        <v>4416.7</v>
      </c>
      <c r="D11" s="2">
        <v>6219.8</v>
      </c>
      <c r="E11" s="7">
        <f t="shared" si="5"/>
        <v>44.278333333333336</v>
      </c>
      <c r="F11" s="7">
        <f t="shared" si="6"/>
        <v>62.33</v>
      </c>
      <c r="G11" s="7">
        <f t="shared" si="7"/>
        <v>-62.33</v>
      </c>
    </row>
    <row r="12" spans="1:7" x14ac:dyDescent="0.35">
      <c r="A12" s="4" t="s">
        <v>5</v>
      </c>
      <c r="B12" s="10">
        <v>44742</v>
      </c>
      <c r="C12" s="2">
        <v>4418</v>
      </c>
      <c r="D12" s="2">
        <v>6312.2</v>
      </c>
      <c r="E12" s="7">
        <f t="shared" si="5"/>
        <v>44.3</v>
      </c>
      <c r="F12" s="7">
        <f t="shared" si="6"/>
        <v>63.203333333333333</v>
      </c>
      <c r="G12" s="7">
        <f t="shared" si="7"/>
        <v>-63.203333333333333</v>
      </c>
    </row>
    <row r="13" spans="1:7" x14ac:dyDescent="0.35">
      <c r="A13" s="4" t="s">
        <v>5</v>
      </c>
      <c r="B13" s="10">
        <v>44747</v>
      </c>
      <c r="C13" s="2">
        <v>4416.7</v>
      </c>
      <c r="D13" s="2">
        <v>6216.7</v>
      </c>
      <c r="E13" s="7">
        <f t="shared" si="5"/>
        <v>44.278333333333336</v>
      </c>
      <c r="F13" s="7">
        <f t="shared" si="6"/>
        <v>62.278333333333336</v>
      </c>
      <c r="G13" s="7">
        <f t="shared" si="7"/>
        <v>-62.278333333333336</v>
      </c>
    </row>
    <row r="14" spans="1:7" x14ac:dyDescent="0.35">
      <c r="A14" s="4" t="s">
        <v>5</v>
      </c>
      <c r="B14" s="10">
        <v>44747</v>
      </c>
      <c r="C14" s="2">
        <v>4416.2</v>
      </c>
      <c r="D14" s="2">
        <v>6215.6</v>
      </c>
      <c r="E14" s="7">
        <f t="shared" si="5"/>
        <v>44.27</v>
      </c>
      <c r="F14" s="7">
        <f t="shared" si="6"/>
        <v>62.26</v>
      </c>
      <c r="G14" s="7">
        <f t="shared" si="7"/>
        <v>-62.26</v>
      </c>
    </row>
    <row r="15" spans="1:7" x14ac:dyDescent="0.35">
      <c r="A15" s="4" t="s">
        <v>5</v>
      </c>
      <c r="B15" s="10">
        <v>44750</v>
      </c>
      <c r="C15" s="2">
        <v>4415.1000000000004</v>
      </c>
      <c r="D15" s="2">
        <v>6225.1</v>
      </c>
      <c r="E15" s="7">
        <f t="shared" si="5"/>
        <v>44.251666666666665</v>
      </c>
      <c r="F15" s="7">
        <f t="shared" si="6"/>
        <v>62.418333333333337</v>
      </c>
      <c r="G15" s="7">
        <f t="shared" si="7"/>
        <v>-62.418333333333337</v>
      </c>
    </row>
    <row r="16" spans="1:7" x14ac:dyDescent="0.35">
      <c r="A16" s="4" t="s">
        <v>5</v>
      </c>
      <c r="B16" s="10">
        <v>44752</v>
      </c>
      <c r="C16" s="2">
        <v>4413.8</v>
      </c>
      <c r="D16" s="2">
        <v>6223.9</v>
      </c>
      <c r="E16" s="7">
        <f t="shared" si="5"/>
        <v>44.23</v>
      </c>
      <c r="F16" s="7">
        <f t="shared" si="6"/>
        <v>62.398333333333333</v>
      </c>
      <c r="G16" s="7">
        <f t="shared" si="7"/>
        <v>-62.398333333333333</v>
      </c>
    </row>
    <row r="17" spans="1:7" x14ac:dyDescent="0.35">
      <c r="A17" s="4" t="s">
        <v>5</v>
      </c>
      <c r="B17" s="10">
        <v>44754</v>
      </c>
      <c r="C17" s="2">
        <v>4412.3999999999996</v>
      </c>
      <c r="D17" s="2">
        <v>6218.4</v>
      </c>
      <c r="E17" s="7">
        <f t="shared" si="5"/>
        <v>44.206666666666663</v>
      </c>
      <c r="F17" s="7">
        <f t="shared" si="6"/>
        <v>62.306666666666665</v>
      </c>
      <c r="G17" s="7">
        <f t="shared" si="7"/>
        <v>-62.306666666666665</v>
      </c>
    </row>
    <row r="18" spans="1:7" x14ac:dyDescent="0.35">
      <c r="A18" s="4" t="s">
        <v>5</v>
      </c>
      <c r="B18" s="10">
        <v>44760</v>
      </c>
      <c r="C18" s="2">
        <v>4400.2</v>
      </c>
      <c r="D18" s="2">
        <v>6223.3</v>
      </c>
      <c r="E18" s="7">
        <f t="shared" si="5"/>
        <v>44.00333333333333</v>
      </c>
      <c r="F18" s="7">
        <f t="shared" si="6"/>
        <v>62.388333333333335</v>
      </c>
      <c r="G18" s="7">
        <f t="shared" si="7"/>
        <v>-62.388333333333335</v>
      </c>
    </row>
    <row r="19" spans="1:7" x14ac:dyDescent="0.35">
      <c r="A19" s="4" t="s">
        <v>5</v>
      </c>
      <c r="B19" s="10">
        <v>44763</v>
      </c>
      <c r="C19" s="2">
        <v>4359.5</v>
      </c>
      <c r="D19" s="2">
        <v>6224.4</v>
      </c>
      <c r="E19" s="7">
        <f t="shared" si="5"/>
        <v>43.991666666666667</v>
      </c>
      <c r="F19" s="7">
        <f t="shared" si="6"/>
        <v>62.406666666666666</v>
      </c>
      <c r="G19" s="7">
        <f t="shared" si="7"/>
        <v>-62.406666666666666</v>
      </c>
    </row>
    <row r="20" spans="1:7" x14ac:dyDescent="0.35">
      <c r="A20" s="4" t="s">
        <v>5</v>
      </c>
      <c r="B20" s="10">
        <v>44764</v>
      </c>
      <c r="C20" s="2">
        <v>4359.5</v>
      </c>
      <c r="D20" s="2">
        <v>6223.4</v>
      </c>
      <c r="E20" s="7">
        <f t="shared" si="5"/>
        <v>43.991666666666667</v>
      </c>
      <c r="F20" s="7">
        <f t="shared" si="6"/>
        <v>62.39</v>
      </c>
      <c r="G20" s="7">
        <f t="shared" si="7"/>
        <v>-62.39</v>
      </c>
    </row>
    <row r="21" spans="1:7" x14ac:dyDescent="0.35">
      <c r="A21" s="4" t="s">
        <v>5</v>
      </c>
      <c r="B21" s="10">
        <v>44765</v>
      </c>
      <c r="C21" s="2">
        <v>4357.5</v>
      </c>
      <c r="D21" s="2">
        <v>6228</v>
      </c>
      <c r="E21" s="7">
        <f t="shared" si="5"/>
        <v>43.958333333333336</v>
      </c>
      <c r="F21" s="7">
        <f t="shared" si="6"/>
        <v>62.466666666666669</v>
      </c>
      <c r="G21" s="7">
        <f t="shared" si="7"/>
        <v>-62.466666666666669</v>
      </c>
    </row>
    <row r="22" spans="1:7" x14ac:dyDescent="0.35">
      <c r="A22" s="8"/>
      <c r="B22" s="8"/>
      <c r="C22">
        <v>4313.6059999999998</v>
      </c>
      <c r="D22">
        <v>6220.8</v>
      </c>
      <c r="E22" s="7">
        <f t="shared" si="5"/>
        <v>43.22676666666667</v>
      </c>
      <c r="F22" s="7">
        <f t="shared" si="6"/>
        <v>62.346666666666664</v>
      </c>
      <c r="G22" s="7">
        <f t="shared" si="7"/>
        <v>-62.346666666666664</v>
      </c>
    </row>
    <row r="23" spans="1:7" x14ac:dyDescent="0.35">
      <c r="A23" s="8"/>
      <c r="B23" s="8"/>
      <c r="C23">
        <v>4413</v>
      </c>
      <c r="D23">
        <v>6227</v>
      </c>
      <c r="E23" s="7">
        <f t="shared" si="5"/>
        <v>44.216666666666669</v>
      </c>
      <c r="F23" s="7">
        <f t="shared" si="6"/>
        <v>62.45</v>
      </c>
      <c r="G23" s="7">
        <f t="shared" si="7"/>
        <v>-62.45</v>
      </c>
    </row>
    <row r="24" spans="1:7" x14ac:dyDescent="0.35">
      <c r="A24" s="8"/>
      <c r="B24" s="8"/>
      <c r="C24">
        <v>4416</v>
      </c>
      <c r="D24">
        <v>6221</v>
      </c>
      <c r="E24" s="7">
        <f t="shared" si="5"/>
        <v>44.266666666666666</v>
      </c>
      <c r="F24" s="7">
        <f t="shared" si="6"/>
        <v>62.35</v>
      </c>
      <c r="G24" s="7">
        <f t="shared" si="7"/>
        <v>-62.35</v>
      </c>
    </row>
    <row r="25" spans="1:7" x14ac:dyDescent="0.35">
      <c r="A25" s="8"/>
      <c r="B25" s="8"/>
      <c r="C25">
        <v>4413.3</v>
      </c>
      <c r="D25">
        <v>62.25</v>
      </c>
      <c r="E25" s="7">
        <f t="shared" si="5"/>
        <v>44.221666666666664</v>
      </c>
      <c r="F25" s="7">
        <f t="shared" si="6"/>
        <v>0</v>
      </c>
      <c r="G25" s="7">
        <f t="shared" si="7"/>
        <v>0</v>
      </c>
    </row>
    <row r="26" spans="1:7" x14ac:dyDescent="0.35">
      <c r="A26" s="8"/>
      <c r="B26" s="8"/>
      <c r="C26">
        <v>4412</v>
      </c>
      <c r="D26">
        <v>6215</v>
      </c>
      <c r="E26" s="7">
        <f t="shared" si="5"/>
        <v>44.2</v>
      </c>
      <c r="F26" s="7">
        <f t="shared" si="6"/>
        <v>62.25</v>
      </c>
      <c r="G26" s="7">
        <f t="shared" si="7"/>
        <v>-62.25</v>
      </c>
    </row>
    <row r="27" spans="1:7" x14ac:dyDescent="0.35">
      <c r="A27" s="8"/>
      <c r="B27" s="8"/>
      <c r="C27">
        <v>4412</v>
      </c>
      <c r="D27">
        <v>6221</v>
      </c>
      <c r="E27" s="7">
        <f t="shared" si="5"/>
        <v>44.2</v>
      </c>
      <c r="F27" s="7">
        <f t="shared" si="6"/>
        <v>62.35</v>
      </c>
      <c r="G27" s="7">
        <f t="shared" si="7"/>
        <v>-62.35</v>
      </c>
    </row>
    <row r="28" spans="1:7" x14ac:dyDescent="0.35">
      <c r="A28" s="8"/>
      <c r="B28" s="8"/>
      <c r="C28">
        <v>4413.6000000000004</v>
      </c>
      <c r="D28">
        <v>6221.7</v>
      </c>
      <c r="E28" s="7">
        <f t="shared" si="5"/>
        <v>44.226666666666667</v>
      </c>
      <c r="F28" s="7">
        <f t="shared" si="6"/>
        <v>62.361666666666665</v>
      </c>
      <c r="G28" s="7">
        <f t="shared" si="7"/>
        <v>-62.361666666666665</v>
      </c>
    </row>
    <row r="29" spans="1:7" x14ac:dyDescent="0.35">
      <c r="A29" s="8"/>
      <c r="B29" s="8"/>
      <c r="C29">
        <v>4414</v>
      </c>
      <c r="D29">
        <v>6221</v>
      </c>
      <c r="E29" s="7">
        <f t="shared" si="5"/>
        <v>44.233333333333334</v>
      </c>
      <c r="F29" s="7">
        <f t="shared" si="6"/>
        <v>62.35</v>
      </c>
      <c r="G29" s="7">
        <f t="shared" si="7"/>
        <v>-62.35</v>
      </c>
    </row>
    <row r="30" spans="1:7" x14ac:dyDescent="0.35">
      <c r="A30" s="8"/>
      <c r="B30" s="8"/>
      <c r="C30" t="s">
        <v>12</v>
      </c>
      <c r="D30" t="s">
        <v>13</v>
      </c>
      <c r="E30" s="7">
        <f t="shared" ref="E30:E37" si="8">IF(LEN(C30)=4,(LEFT(C30,2))+((RIGHT(C30,2))/60),IF(LEN(C30)=6,(LEFT(C30,2))+((RIGHT(C30,4))/60),IF(LEN(C30)=7,(LEFT(C30,2))+((RIGHT(C30,5))/60),IF(LEN(C30)=8,(LEFT(C30,2))+((RIGHT(C30,6))/60),IF(LEN(C30)=9,(LEFT(C30,2))+((RIGHT(C30,7))/60),0)))))</f>
        <v>44.316499999999998</v>
      </c>
      <c r="F30" s="7">
        <f t="shared" ref="F30:F37" si="9">IF(LEN(D30)=4,(LEFT(D30,2))+((RIGHT(D30,2))/60),IF(LEN(D30)=6,(LEFT(D30,2))+((RIGHT(D30,4))/60),IF(LEN(D30)=7,(LEFT(D30,2))+((RIGHT(D30,5))/60),IF(LEN(D30)=8,(LEFT(D30,2))+((RIGHT(D30,6))/60),IF(LEN(D30)=9,(LEFT(D30,2))+((RIGHT(D30,7))/60),0)))))</f>
        <v>62.268333333333331</v>
      </c>
      <c r="G30" s="7">
        <f t="shared" ref="G30:G37" si="10">F30*-1</f>
        <v>-62.268333333333331</v>
      </c>
    </row>
    <row r="31" spans="1:7" x14ac:dyDescent="0.35">
      <c r="A31" s="8"/>
      <c r="B31" s="8"/>
      <c r="C31" t="s">
        <v>14</v>
      </c>
      <c r="D31" t="s">
        <v>15</v>
      </c>
      <c r="E31" s="7">
        <f t="shared" si="8"/>
        <v>44.286666666666669</v>
      </c>
      <c r="F31" s="7">
        <f t="shared" si="9"/>
        <v>62.45</v>
      </c>
      <c r="G31" s="7">
        <f t="shared" si="10"/>
        <v>-62.45</v>
      </c>
    </row>
    <row r="32" spans="1:7" x14ac:dyDescent="0.35">
      <c r="A32" s="8"/>
      <c r="B32" s="8"/>
      <c r="C32" s="8" t="s">
        <v>16</v>
      </c>
      <c r="D32" s="8" t="s">
        <v>17</v>
      </c>
      <c r="E32" s="7">
        <f t="shared" si="8"/>
        <v>44.185000000000002</v>
      </c>
      <c r="F32" s="7">
        <f t="shared" si="9"/>
        <v>62.346666666666664</v>
      </c>
      <c r="G32" s="7">
        <f t="shared" si="10"/>
        <v>-62.346666666666664</v>
      </c>
    </row>
    <row r="33" spans="1:7" x14ac:dyDescent="0.35">
      <c r="A33" s="8"/>
      <c r="B33" s="8"/>
      <c r="C33" s="8" t="s">
        <v>18</v>
      </c>
      <c r="D33" s="8" t="s">
        <v>19</v>
      </c>
      <c r="E33" s="7">
        <f t="shared" si="8"/>
        <v>44.31</v>
      </c>
      <c r="F33" s="7">
        <f t="shared" si="9"/>
        <v>62.223333333333336</v>
      </c>
      <c r="G33" s="7">
        <f t="shared" si="10"/>
        <v>-62.223333333333336</v>
      </c>
    </row>
    <row r="34" spans="1:7" x14ac:dyDescent="0.35">
      <c r="A34" s="8"/>
      <c r="B34" s="8"/>
      <c r="C34" s="8" t="s">
        <v>20</v>
      </c>
      <c r="D34" s="8" t="s">
        <v>21</v>
      </c>
      <c r="E34" s="7">
        <f t="shared" si="8"/>
        <v>44.208333333333336</v>
      </c>
      <c r="F34" s="7">
        <f t="shared" si="9"/>
        <v>62.423333333333332</v>
      </c>
      <c r="G34" s="7">
        <f t="shared" si="10"/>
        <v>-62.423333333333332</v>
      </c>
    </row>
    <row r="35" spans="1:7" x14ac:dyDescent="0.35">
      <c r="A35" s="8"/>
      <c r="B35" s="8"/>
      <c r="C35" s="8"/>
      <c r="D35" s="8"/>
      <c r="E35" s="7">
        <f t="shared" si="8"/>
        <v>0</v>
      </c>
      <c r="F35" s="7">
        <f t="shared" si="9"/>
        <v>0</v>
      </c>
      <c r="G35" s="7">
        <f t="shared" si="10"/>
        <v>0</v>
      </c>
    </row>
    <row r="36" spans="1:7" x14ac:dyDescent="0.35">
      <c r="A36" s="8"/>
      <c r="B36" s="8"/>
      <c r="C36" s="8"/>
      <c r="D36" s="8"/>
      <c r="E36" s="7">
        <f t="shared" si="8"/>
        <v>0</v>
      </c>
      <c r="F36" s="7">
        <f t="shared" si="9"/>
        <v>0</v>
      </c>
      <c r="G36" s="7">
        <f t="shared" si="10"/>
        <v>0</v>
      </c>
    </row>
    <row r="37" spans="1:7" x14ac:dyDescent="0.35">
      <c r="A37" s="8"/>
      <c r="B37" s="8"/>
      <c r="C37" s="8"/>
      <c r="D37" s="8"/>
      <c r="E37" s="7">
        <f t="shared" si="8"/>
        <v>0</v>
      </c>
      <c r="F37" s="7">
        <f t="shared" si="9"/>
        <v>0</v>
      </c>
      <c r="G37" s="7">
        <f t="shared" si="10"/>
        <v>0</v>
      </c>
    </row>
    <row r="38" spans="1:7" x14ac:dyDescent="0.35">
      <c r="E38" s="7">
        <f t="shared" si="5"/>
        <v>0</v>
      </c>
      <c r="F38" s="7">
        <f t="shared" si="6"/>
        <v>0</v>
      </c>
      <c r="G38" s="7">
        <f t="shared" si="7"/>
        <v>0</v>
      </c>
    </row>
    <row r="39" spans="1:7" x14ac:dyDescent="0.35">
      <c r="C39" s="1"/>
      <c r="D39" s="1"/>
    </row>
    <row r="40" spans="1:7" x14ac:dyDescent="0.35">
      <c r="C40" s="1"/>
      <c r="D40" s="1"/>
    </row>
    <row r="41" spans="1:7" x14ac:dyDescent="0.35">
      <c r="C41" s="1"/>
      <c r="D41" s="1"/>
    </row>
    <row r="42" spans="1:7" x14ac:dyDescent="0.35">
      <c r="C42" s="1"/>
      <c r="D42" s="1"/>
    </row>
    <row r="43" spans="1:7" x14ac:dyDescent="0.35">
      <c r="C43" s="1"/>
      <c r="D43" s="1"/>
    </row>
    <row r="44" spans="1:7" x14ac:dyDescent="0.35">
      <c r="C44" s="1"/>
      <c r="D44" s="1"/>
    </row>
    <row r="45" spans="1:7" x14ac:dyDescent="0.35">
      <c r="C45" s="1"/>
      <c r="D45" s="1"/>
    </row>
    <row r="46" spans="1:7" x14ac:dyDescent="0.35">
      <c r="C46" s="1"/>
      <c r="D46" s="1"/>
    </row>
    <row r="51" spans="3:7" x14ac:dyDescent="0.35">
      <c r="E51" s="3">
        <f t="shared" ref="E38:E59" si="11">IF(LEN(C51)=4,(LEFT(C51,2))+((RIGHT(C51,2))/60),IF(LEN(C51)=6,(LEFT(C51,2))+((RIGHT(C51,4))/60),IF(LEN(C51)=7,(LEFT(C51,2))+((RIGHT(C51,5))/60),IF(LEN(C51)=8,(LEFT(C51,2))+((RIGHT(C51,6))/60),IF(LEN(C51)=9,(LEFT(C51,2))+((RIGHT(C51,7))/60),0)))))</f>
        <v>0</v>
      </c>
      <c r="F51" s="3">
        <f t="shared" ref="F38:F59" si="12">IF(LEN(D51)=4,(LEFT(D51,2))+((RIGHT(D51,2))/60),IF(LEN(D51)=6,(LEFT(D51,2))+((RIGHT(D51,4))/60),IF(LEN(D51)=7,(LEFT(D51,2))+((RIGHT(D51,5))/60),IF(LEN(D51)=8,(LEFT(D51,2))+((RIGHT(D51,6))/60),IF(LEN(D51)=9,(LEFT(D51,2))+((RIGHT(D51,7))/60),0)))))</f>
        <v>0</v>
      </c>
      <c r="G51" s="3">
        <f t="shared" si="4"/>
        <v>0</v>
      </c>
    </row>
    <row r="52" spans="3:7" x14ac:dyDescent="0.35">
      <c r="E52" s="3">
        <f t="shared" si="11"/>
        <v>0</v>
      </c>
      <c r="F52" s="3">
        <f t="shared" si="12"/>
        <v>0</v>
      </c>
      <c r="G52" s="3">
        <f t="shared" si="4"/>
        <v>0</v>
      </c>
    </row>
    <row r="53" spans="3:7" x14ac:dyDescent="0.35">
      <c r="E53" s="3">
        <f t="shared" si="11"/>
        <v>0</v>
      </c>
      <c r="F53" s="3">
        <f t="shared" si="12"/>
        <v>0</v>
      </c>
      <c r="G53" s="3">
        <f t="shared" si="4"/>
        <v>0</v>
      </c>
    </row>
    <row r="54" spans="3:7" x14ac:dyDescent="0.35">
      <c r="E54" s="3">
        <f t="shared" si="11"/>
        <v>0</v>
      </c>
      <c r="F54" s="3">
        <f t="shared" si="12"/>
        <v>0</v>
      </c>
      <c r="G54" s="3">
        <f t="shared" si="4"/>
        <v>0</v>
      </c>
    </row>
    <row r="55" spans="3:7" x14ac:dyDescent="0.35">
      <c r="E55" s="3">
        <f t="shared" si="11"/>
        <v>0</v>
      </c>
      <c r="F55" s="3">
        <f t="shared" si="12"/>
        <v>0</v>
      </c>
      <c r="G55" s="3">
        <f t="shared" si="4"/>
        <v>0</v>
      </c>
    </row>
    <row r="56" spans="3:7" x14ac:dyDescent="0.35">
      <c r="C56" s="2">
        <v>4423.16</v>
      </c>
      <c r="D56" s="2">
        <v>6642.64</v>
      </c>
      <c r="E56" s="3">
        <f t="shared" si="11"/>
        <v>44.386000000000003</v>
      </c>
      <c r="F56" s="3">
        <f t="shared" si="12"/>
        <v>66.710666666666668</v>
      </c>
      <c r="G56" s="3">
        <f t="shared" si="4"/>
        <v>-66.710666666666668</v>
      </c>
    </row>
    <row r="57" spans="3:7" x14ac:dyDescent="0.35">
      <c r="C57" s="2">
        <v>4423.55</v>
      </c>
      <c r="D57" s="2">
        <v>6643.7179999999998</v>
      </c>
      <c r="E57" s="3">
        <f t="shared" si="11"/>
        <v>44.392499999999998</v>
      </c>
      <c r="F57" s="3">
        <f t="shared" si="12"/>
        <v>66.728633333333335</v>
      </c>
      <c r="G57" s="3">
        <f t="shared" si="4"/>
        <v>-66.728633333333335</v>
      </c>
    </row>
    <row r="58" spans="3:7" x14ac:dyDescent="0.35">
      <c r="C58" s="2">
        <v>4423.9400000000005</v>
      </c>
      <c r="D58" s="2">
        <v>6644.7959999999994</v>
      </c>
      <c r="E58" s="3">
        <f t="shared" si="11"/>
        <v>44.399000000000001</v>
      </c>
      <c r="F58" s="3">
        <f t="shared" si="12"/>
        <v>66.746600000000001</v>
      </c>
      <c r="G58" s="3">
        <f t="shared" ref="G58:G59" si="13">F58*-1</f>
        <v>-66.746600000000001</v>
      </c>
    </row>
    <row r="59" spans="3:7" x14ac:dyDescent="0.35">
      <c r="C59" s="2">
        <v>4424.3300000000008</v>
      </c>
      <c r="D59" s="2">
        <v>6645.8739999999989</v>
      </c>
      <c r="E59" s="3">
        <f t="shared" si="11"/>
        <v>44.405500000000004</v>
      </c>
      <c r="F59" s="3">
        <f t="shared" si="12"/>
        <v>66.764566666666667</v>
      </c>
      <c r="G59" s="3">
        <f t="shared" si="13"/>
        <v>-66.764566666666667</v>
      </c>
    </row>
    <row r="60" spans="3:7" x14ac:dyDescent="0.35">
      <c r="C60" s="2">
        <v>4424.7200000000012</v>
      </c>
      <c r="D60" s="2">
        <v>6646.9519999999984</v>
      </c>
      <c r="E60" s="3">
        <f t="shared" ref="E60:E70" si="14">IF(LEN(C60)=4,(LEFT(C60,2))+((RIGHT(C60,2))/60),IF(LEN(C60)=6,(LEFT(C60,2))+((RIGHT(C60,4))/60),IF(LEN(C60)=7,(LEFT(C60,2))+((RIGHT(C60,5))/60),IF(LEN(C60)=8,(LEFT(C60,2))+((RIGHT(C60,6))/60),IF(LEN(C60)=9,(LEFT(C60,2))+((RIGHT(C60,7))/60),0)))))</f>
        <v>44.411999999999999</v>
      </c>
      <c r="F60" s="3">
        <f t="shared" ref="F60:F70" si="15">IF(LEN(D60)=4,(LEFT(D60,2))+((RIGHT(D60,2))/60),IF(LEN(D60)=6,(LEFT(D60,2))+((RIGHT(D60,4))/60),IF(LEN(D60)=7,(LEFT(D60,2))+((RIGHT(D60,5))/60),IF(LEN(D60)=8,(LEFT(D60,2))+((RIGHT(D60,6))/60),IF(LEN(D60)=9,(LEFT(D60,2))+((RIGHT(D60,7))/60),0)))))</f>
        <v>66.782533333333333</v>
      </c>
      <c r="G60" s="3">
        <f t="shared" ref="G60:G70" si="16">F60*-1</f>
        <v>-66.782533333333333</v>
      </c>
    </row>
    <row r="61" spans="3:7" x14ac:dyDescent="0.35">
      <c r="C61" s="2">
        <v>4425.1100000000015</v>
      </c>
      <c r="D61" s="2">
        <v>6648.0299999999979</v>
      </c>
      <c r="E61" s="3">
        <f t="shared" si="14"/>
        <v>44.418500000000002</v>
      </c>
      <c r="F61" s="3">
        <f t="shared" si="15"/>
        <v>66.8005</v>
      </c>
      <c r="G61" s="3">
        <f t="shared" si="16"/>
        <v>-66.8005</v>
      </c>
    </row>
    <row r="62" spans="3:7" x14ac:dyDescent="0.35">
      <c r="C62" s="2">
        <v>4417.97</v>
      </c>
      <c r="D62" s="2">
        <v>6656.97</v>
      </c>
      <c r="E62" s="3">
        <f t="shared" si="14"/>
        <v>44.299500000000002</v>
      </c>
      <c r="F62" s="3">
        <f t="shared" si="15"/>
        <v>66.9495</v>
      </c>
      <c r="G62" s="3">
        <f t="shared" si="16"/>
        <v>-66.9495</v>
      </c>
    </row>
    <row r="63" spans="3:7" x14ac:dyDescent="0.35">
      <c r="C63" s="2">
        <v>4418.1239999999998</v>
      </c>
      <c r="D63" s="2">
        <v>6657.91</v>
      </c>
      <c r="E63" s="3">
        <f t="shared" si="14"/>
        <v>44.302066666666668</v>
      </c>
      <c r="F63" s="3">
        <f t="shared" si="15"/>
        <v>66.965166666666661</v>
      </c>
      <c r="G63" s="3">
        <f t="shared" si="16"/>
        <v>-66.965166666666661</v>
      </c>
    </row>
    <row r="64" spans="3:7" x14ac:dyDescent="0.35">
      <c r="C64" s="2">
        <v>4418.2779999999993</v>
      </c>
      <c r="D64" s="2">
        <v>6658.8499999999995</v>
      </c>
      <c r="E64" s="3">
        <f t="shared" si="14"/>
        <v>44.304633333333335</v>
      </c>
      <c r="F64" s="3">
        <f t="shared" si="15"/>
        <v>66.980833333333337</v>
      </c>
      <c r="G64" s="3">
        <f t="shared" si="16"/>
        <v>-66.980833333333337</v>
      </c>
    </row>
    <row r="65" spans="3:7" x14ac:dyDescent="0.35">
      <c r="C65" s="2">
        <v>4418.4319999999989</v>
      </c>
      <c r="D65" s="2">
        <v>6659.7899999999991</v>
      </c>
      <c r="E65" s="3">
        <f t="shared" si="14"/>
        <v>44.307200000000002</v>
      </c>
      <c r="F65" s="3">
        <f t="shared" si="15"/>
        <v>66.996499999999997</v>
      </c>
      <c r="G65" s="3">
        <f t="shared" si="16"/>
        <v>-66.996499999999997</v>
      </c>
    </row>
    <row r="66" spans="3:7" x14ac:dyDescent="0.35">
      <c r="C66" s="2">
        <v>4418.5859999999984</v>
      </c>
      <c r="D66" s="2">
        <v>6700.7400000000007</v>
      </c>
      <c r="E66" s="3">
        <f t="shared" si="14"/>
        <v>44.309766666666668</v>
      </c>
      <c r="F66" s="3">
        <f t="shared" si="15"/>
        <v>67.012333333333331</v>
      </c>
      <c r="G66" s="3">
        <f t="shared" si="16"/>
        <v>-67.012333333333331</v>
      </c>
    </row>
    <row r="67" spans="3:7" x14ac:dyDescent="0.35">
      <c r="C67" s="2">
        <v>4418.739999999998</v>
      </c>
      <c r="D67" s="2">
        <v>6701.68</v>
      </c>
      <c r="E67" s="3">
        <f t="shared" si="14"/>
        <v>44.312333333333335</v>
      </c>
      <c r="F67" s="3">
        <f t="shared" si="15"/>
        <v>67.028000000000006</v>
      </c>
      <c r="G67" s="3">
        <f t="shared" si="16"/>
        <v>-67.028000000000006</v>
      </c>
    </row>
    <row r="68" spans="3:7" x14ac:dyDescent="0.35">
      <c r="E68" s="3">
        <f t="shared" si="14"/>
        <v>0</v>
      </c>
      <c r="F68" s="3">
        <f t="shared" si="15"/>
        <v>0</v>
      </c>
      <c r="G68" s="3">
        <f t="shared" si="16"/>
        <v>0</v>
      </c>
    </row>
    <row r="69" spans="3:7" x14ac:dyDescent="0.35">
      <c r="E69" s="3">
        <f t="shared" si="14"/>
        <v>0</v>
      </c>
      <c r="F69" s="3">
        <f t="shared" si="15"/>
        <v>0</v>
      </c>
      <c r="G69" s="3">
        <f t="shared" si="16"/>
        <v>0</v>
      </c>
    </row>
    <row r="70" spans="3:7" x14ac:dyDescent="0.35">
      <c r="E70" s="3">
        <f t="shared" si="14"/>
        <v>0</v>
      </c>
      <c r="F70" s="3">
        <f t="shared" si="15"/>
        <v>0</v>
      </c>
      <c r="G70" s="3">
        <f t="shared" si="16"/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B3B75-9762-45BD-BD9B-92330D098F56}">
  <dimension ref="A1:I70"/>
  <sheetViews>
    <sheetView tabSelected="1" topLeftCell="A7" zoomScale="160" zoomScaleNormal="160" workbookViewId="0">
      <selection activeCell="I17" sqref="I17:I26"/>
    </sheetView>
  </sheetViews>
  <sheetFormatPr defaultColWidth="8.81640625" defaultRowHeight="14.5" x14ac:dyDescent="0.35"/>
  <cols>
    <col min="1" max="1" width="10.453125" style="2" bestFit="1" customWidth="1"/>
    <col min="2" max="2" width="10.453125" style="2" customWidth="1"/>
    <col min="3" max="4" width="10.453125" style="16" customWidth="1"/>
    <col min="5" max="6" width="11.453125" style="2" bestFit="1" customWidth="1"/>
    <col min="7" max="7" width="8.81640625" style="3"/>
    <col min="8" max="8" width="8.81640625" style="3" customWidth="1"/>
    <col min="9" max="9" width="9.26953125" style="3" bestFit="1" customWidth="1"/>
    <col min="10" max="16384" width="8.81640625" style="2"/>
  </cols>
  <sheetData>
    <row r="1" spans="1:9" x14ac:dyDescent="0.35">
      <c r="A1" s="2" t="s">
        <v>0</v>
      </c>
      <c r="B1" s="2" t="s">
        <v>7</v>
      </c>
      <c r="C1" s="2"/>
      <c r="D1" s="2"/>
      <c r="E1" s="2" t="s">
        <v>1</v>
      </c>
      <c r="F1" s="2" t="s">
        <v>2</v>
      </c>
      <c r="G1" s="3" t="s">
        <v>3</v>
      </c>
      <c r="H1" s="3" t="s">
        <v>4</v>
      </c>
    </row>
    <row r="2" spans="1:9" x14ac:dyDescent="0.35">
      <c r="A2" s="4"/>
      <c r="B2" s="9"/>
      <c r="C2" s="9" t="s">
        <v>8</v>
      </c>
      <c r="D2" s="9" t="s">
        <v>9</v>
      </c>
      <c r="E2" s="12" t="str">
        <f>SUBSTITUTE(C2,".","",1)</f>
        <v>4413.00</v>
      </c>
      <c r="F2" s="6" t="str">
        <f>SUBSTITUTE(D2,".","",1)</f>
        <v>6223.00</v>
      </c>
      <c r="G2" s="7">
        <f>IF(LEN(E2)=4,(LEFT(E2,2))+((RIGHT(E2,2))/60),IF(LEN(E2)=6,(LEFT(E2,2))+((RIGHT(E2,4))/60),IF(LEN(E2)=7,(LEFT(E2,2))+((RIGHT(E2,5))/60),IF(LEN(E2)=8,(LEFT(E2,2))+((RIGHT(E2,6))/60),IF(LEN(E2)=9,(LEFT(E2,2))+((RIGHT(E2,7))/60),0)))))</f>
        <v>44.216666666666669</v>
      </c>
      <c r="H2" s="7">
        <f t="shared" ref="H2:H38" si="0">IF(LEN(F2)=4,(LEFT(F2,2))+((RIGHT(F2,2))/60),IF(LEN(F2)=6,(LEFT(F2,2))+((RIGHT(F2,4))/60),IF(LEN(F2)=7,(LEFT(F2,2))+((RIGHT(F2,5))/60),IF(LEN(F2)=8,(LEFT(F2,2))+((RIGHT(F2,6))/60),IF(LEN(F2)=9,(LEFT(F2,2))+((RIGHT(F2,7))/60),0)))))</f>
        <v>62.383333333333333</v>
      </c>
      <c r="I2" s="7">
        <f t="shared" ref="I2:I4" si="1">H2*-1</f>
        <v>-62.383333333333333</v>
      </c>
    </row>
    <row r="3" spans="1:9" x14ac:dyDescent="0.35">
      <c r="A3" s="4"/>
      <c r="B3" s="9"/>
      <c r="C3" s="9" t="s">
        <v>8</v>
      </c>
      <c r="D3" s="9" t="s">
        <v>9</v>
      </c>
      <c r="E3" s="12" t="str">
        <f t="shared" ref="E3:E4" si="2">SUBSTITUTE(C3,".","",1)</f>
        <v>4413.00</v>
      </c>
      <c r="F3" s="6" t="str">
        <f t="shared" ref="F3:F4" si="3">SUBSTITUTE(D3,".","",1)</f>
        <v>6223.00</v>
      </c>
      <c r="G3" s="7">
        <f t="shared" ref="G3:G38" si="4">IF(LEN(E3)=4,(LEFT(E3,2))+((RIGHT(E3,2))/60),IF(LEN(E3)=6,(LEFT(E3,2))+((RIGHT(E3,4))/60),IF(LEN(E3)=7,(LEFT(E3,2))+((RIGHT(E3,5))/60),IF(LEN(E3)=8,(LEFT(E3,2))+((RIGHT(E3,6))/60),IF(LEN(E3)=9,(LEFT(E3,2))+((RIGHT(E3,7))/60),0)))))</f>
        <v>44.216666666666669</v>
      </c>
      <c r="H3" s="7">
        <f t="shared" si="0"/>
        <v>62.383333333333333</v>
      </c>
      <c r="I3" s="7">
        <f t="shared" si="1"/>
        <v>-62.383333333333333</v>
      </c>
    </row>
    <row r="4" spans="1:9" x14ac:dyDescent="0.35">
      <c r="A4" s="4"/>
      <c r="B4" s="9"/>
      <c r="C4" s="9" t="s">
        <v>10</v>
      </c>
      <c r="D4" s="9" t="s">
        <v>11</v>
      </c>
      <c r="E4" s="12" t="str">
        <f t="shared" si="2"/>
        <v>4414.00</v>
      </c>
      <c r="F4" s="6" t="str">
        <f t="shared" si="3"/>
        <v>6221.00</v>
      </c>
      <c r="G4" s="7">
        <f t="shared" si="4"/>
        <v>44.233333333333334</v>
      </c>
      <c r="H4" s="7">
        <f t="shared" si="0"/>
        <v>62.35</v>
      </c>
      <c r="I4" s="7">
        <f t="shared" si="1"/>
        <v>-62.35</v>
      </c>
    </row>
    <row r="5" spans="1:9" x14ac:dyDescent="0.35">
      <c r="A5" s="4"/>
      <c r="B5" s="9"/>
      <c r="C5" s="13">
        <v>43.33</v>
      </c>
      <c r="D5" s="13">
        <v>62.23</v>
      </c>
      <c r="E5" s="12" t="str">
        <f t="shared" ref="E5:E38" si="5">SUBSTITUTE(C5,".","",1)</f>
        <v>4333</v>
      </c>
      <c r="F5" s="6" t="str">
        <f t="shared" ref="F5:F38" si="6">SUBSTITUTE(D5,".","",1)</f>
        <v>6223</v>
      </c>
      <c r="G5" s="7">
        <f t="shared" si="4"/>
        <v>43.55</v>
      </c>
      <c r="H5" s="7">
        <f t="shared" si="0"/>
        <v>62.383333333333333</v>
      </c>
      <c r="I5" s="7">
        <f>H5*-1</f>
        <v>-62.383333333333333</v>
      </c>
    </row>
    <row r="6" spans="1:9" x14ac:dyDescent="0.35">
      <c r="A6" s="4"/>
      <c r="B6" s="9"/>
      <c r="C6" s="13">
        <v>43.49</v>
      </c>
      <c r="D6" s="13">
        <v>62.23</v>
      </c>
      <c r="E6" s="12" t="str">
        <f t="shared" si="5"/>
        <v>4349</v>
      </c>
      <c r="F6" s="6" t="str">
        <f t="shared" si="6"/>
        <v>6223</v>
      </c>
      <c r="G6" s="7">
        <f t="shared" si="4"/>
        <v>43.81666666666667</v>
      </c>
      <c r="H6" s="7">
        <f t="shared" si="0"/>
        <v>62.383333333333333</v>
      </c>
      <c r="I6" s="7">
        <f t="shared" ref="I6:I69" si="7">H6*-1</f>
        <v>-62.383333333333333</v>
      </c>
    </row>
    <row r="7" spans="1:9" x14ac:dyDescent="0.35">
      <c r="A7" s="4"/>
      <c r="B7" s="10"/>
      <c r="C7" s="14">
        <v>44.03</v>
      </c>
      <c r="D7" s="14">
        <v>62.08</v>
      </c>
      <c r="E7" s="12" t="str">
        <f t="shared" si="5"/>
        <v>4403</v>
      </c>
      <c r="F7" s="6" t="str">
        <f t="shared" si="6"/>
        <v>6208</v>
      </c>
      <c r="G7" s="7">
        <f t="shared" si="4"/>
        <v>44.05</v>
      </c>
      <c r="H7" s="7">
        <f t="shared" si="0"/>
        <v>62.133333333333333</v>
      </c>
      <c r="I7" s="7">
        <f t="shared" si="7"/>
        <v>-62.133333333333333</v>
      </c>
    </row>
    <row r="8" spans="1:9" x14ac:dyDescent="0.35">
      <c r="A8" s="4"/>
      <c r="B8" s="10"/>
      <c r="C8" s="14">
        <v>43.59</v>
      </c>
      <c r="D8" s="14">
        <v>62.19</v>
      </c>
      <c r="E8" s="12" t="str">
        <f t="shared" si="5"/>
        <v>4359</v>
      </c>
      <c r="F8" s="6" t="str">
        <f t="shared" si="6"/>
        <v>6219</v>
      </c>
      <c r="G8" s="7">
        <f t="shared" si="4"/>
        <v>43.983333333333334</v>
      </c>
      <c r="H8" s="7">
        <f t="shared" si="0"/>
        <v>62.31666666666667</v>
      </c>
      <c r="I8" s="7">
        <f t="shared" si="7"/>
        <v>-62.31666666666667</v>
      </c>
    </row>
    <row r="9" spans="1:9" x14ac:dyDescent="0.35">
      <c r="A9" s="4"/>
      <c r="B9" s="10"/>
      <c r="C9" s="14">
        <v>43.58</v>
      </c>
      <c r="D9" s="14">
        <v>62.18</v>
      </c>
      <c r="E9" s="12" t="str">
        <f t="shared" si="5"/>
        <v>4358</v>
      </c>
      <c r="F9" s="6" t="str">
        <f t="shared" si="6"/>
        <v>6218</v>
      </c>
      <c r="G9" s="7">
        <f t="shared" si="4"/>
        <v>43.966666666666669</v>
      </c>
      <c r="H9" s="7">
        <f t="shared" si="0"/>
        <v>62.3</v>
      </c>
      <c r="I9" s="7">
        <f t="shared" si="7"/>
        <v>-62.3</v>
      </c>
    </row>
    <row r="10" spans="1:9" x14ac:dyDescent="0.35">
      <c r="A10" s="4"/>
      <c r="B10" s="10"/>
      <c r="C10" s="14">
        <v>44.11</v>
      </c>
      <c r="D10" s="14">
        <v>62.08</v>
      </c>
      <c r="E10" s="12" t="str">
        <f t="shared" si="5"/>
        <v>4411</v>
      </c>
      <c r="F10" s="6" t="str">
        <f t="shared" si="6"/>
        <v>6208</v>
      </c>
      <c r="G10" s="7">
        <f t="shared" si="4"/>
        <v>44.18333333333333</v>
      </c>
      <c r="H10" s="7">
        <f t="shared" si="0"/>
        <v>62.133333333333333</v>
      </c>
      <c r="I10" s="7">
        <f t="shared" si="7"/>
        <v>-62.133333333333333</v>
      </c>
    </row>
    <row r="11" spans="1:9" x14ac:dyDescent="0.35">
      <c r="A11" s="4"/>
      <c r="B11" s="10"/>
      <c r="C11" s="14">
        <v>44.1</v>
      </c>
      <c r="D11" s="14">
        <v>62.01</v>
      </c>
      <c r="E11" s="12" t="str">
        <f t="shared" si="5"/>
        <v>441</v>
      </c>
      <c r="F11" s="6" t="str">
        <f t="shared" si="6"/>
        <v>6201</v>
      </c>
      <c r="G11" s="7">
        <f t="shared" si="4"/>
        <v>0</v>
      </c>
      <c r="H11" s="7">
        <f t="shared" si="0"/>
        <v>62.016666666666666</v>
      </c>
      <c r="I11" s="7">
        <f t="shared" si="7"/>
        <v>-62.016666666666666</v>
      </c>
    </row>
    <row r="12" spans="1:9" x14ac:dyDescent="0.35">
      <c r="A12" s="4"/>
      <c r="B12" s="10"/>
      <c r="C12" s="14">
        <v>44.17</v>
      </c>
      <c r="D12" s="14">
        <v>62.16</v>
      </c>
      <c r="E12" s="12" t="str">
        <f t="shared" si="5"/>
        <v>4417</v>
      </c>
      <c r="F12" s="6" t="str">
        <f t="shared" si="6"/>
        <v>6216</v>
      </c>
      <c r="G12" s="7">
        <f t="shared" si="4"/>
        <v>44.283333333333331</v>
      </c>
      <c r="H12" s="7">
        <f t="shared" si="0"/>
        <v>62.266666666666666</v>
      </c>
      <c r="I12" s="7">
        <f t="shared" si="7"/>
        <v>-62.266666666666666</v>
      </c>
    </row>
    <row r="13" spans="1:9" x14ac:dyDescent="0.35">
      <c r="A13" s="4"/>
      <c r="B13" s="10"/>
      <c r="C13" s="14">
        <v>44.17</v>
      </c>
      <c r="D13" s="14">
        <v>62.18</v>
      </c>
      <c r="E13" s="12" t="str">
        <f t="shared" si="5"/>
        <v>4417</v>
      </c>
      <c r="F13" s="6" t="str">
        <f t="shared" si="6"/>
        <v>6218</v>
      </c>
      <c r="G13" s="7">
        <f t="shared" si="4"/>
        <v>44.283333333333331</v>
      </c>
      <c r="H13" s="7">
        <f t="shared" si="0"/>
        <v>62.3</v>
      </c>
      <c r="I13" s="7">
        <f t="shared" si="7"/>
        <v>-62.3</v>
      </c>
    </row>
    <row r="14" spans="1:9" x14ac:dyDescent="0.35">
      <c r="A14" s="4"/>
      <c r="B14" s="10"/>
      <c r="C14" s="14">
        <v>44.15</v>
      </c>
      <c r="D14" s="14">
        <v>62.16</v>
      </c>
      <c r="E14" s="12" t="str">
        <f t="shared" si="5"/>
        <v>4415</v>
      </c>
      <c r="F14" s="6" t="str">
        <f t="shared" si="6"/>
        <v>6216</v>
      </c>
      <c r="G14" s="7">
        <f t="shared" si="4"/>
        <v>44.25</v>
      </c>
      <c r="H14" s="7">
        <f t="shared" si="0"/>
        <v>62.266666666666666</v>
      </c>
      <c r="I14" s="7">
        <f t="shared" si="7"/>
        <v>-62.266666666666666</v>
      </c>
    </row>
    <row r="15" spans="1:9" x14ac:dyDescent="0.35">
      <c r="A15" s="4"/>
      <c r="B15" s="10"/>
      <c r="C15" s="14">
        <v>44.12</v>
      </c>
      <c r="D15" s="14">
        <v>62.24</v>
      </c>
      <c r="E15" s="12" t="str">
        <f t="shared" si="5"/>
        <v>4412</v>
      </c>
      <c r="F15" s="6" t="str">
        <f t="shared" si="6"/>
        <v>6224</v>
      </c>
      <c r="G15" s="7">
        <f t="shared" si="4"/>
        <v>44.2</v>
      </c>
      <c r="H15" s="7">
        <f t="shared" si="0"/>
        <v>62.4</v>
      </c>
      <c r="I15" s="7">
        <f t="shared" si="7"/>
        <v>-62.4</v>
      </c>
    </row>
    <row r="16" spans="1:9" x14ac:dyDescent="0.35">
      <c r="A16" s="4"/>
      <c r="B16" s="10"/>
      <c r="C16" s="14">
        <v>44.12</v>
      </c>
      <c r="D16" s="14">
        <v>62.17</v>
      </c>
      <c r="E16" s="12" t="str">
        <f t="shared" si="5"/>
        <v>4412</v>
      </c>
      <c r="F16" s="6" t="str">
        <f t="shared" si="6"/>
        <v>6217</v>
      </c>
      <c r="G16" s="7">
        <f t="shared" si="4"/>
        <v>44.2</v>
      </c>
      <c r="H16" s="7">
        <f t="shared" si="0"/>
        <v>62.283333333333331</v>
      </c>
      <c r="I16" s="7">
        <f t="shared" si="7"/>
        <v>-62.283333333333331</v>
      </c>
    </row>
    <row r="17" spans="1:9" x14ac:dyDescent="0.35">
      <c r="A17" s="4"/>
      <c r="B17" s="10"/>
      <c r="C17" s="14" t="s">
        <v>22</v>
      </c>
      <c r="D17" s="14" t="s">
        <v>23</v>
      </c>
      <c r="E17" s="12" t="str">
        <f t="shared" si="5"/>
        <v>4412.05</v>
      </c>
      <c r="F17" s="6" t="str">
        <f t="shared" si="6"/>
        <v>6223.01</v>
      </c>
      <c r="G17" s="7">
        <f t="shared" si="4"/>
        <v>44.200833333333335</v>
      </c>
      <c r="H17" s="7">
        <f t="shared" si="0"/>
        <v>62.383499999999998</v>
      </c>
      <c r="I17" s="7">
        <f t="shared" si="7"/>
        <v>-62.383499999999998</v>
      </c>
    </row>
    <row r="18" spans="1:9" x14ac:dyDescent="0.35">
      <c r="A18" s="4"/>
      <c r="B18" s="10"/>
      <c r="C18" s="14">
        <v>44.13</v>
      </c>
      <c r="D18" s="14">
        <v>62.2</v>
      </c>
      <c r="E18" s="12" t="str">
        <f t="shared" si="5"/>
        <v>4413</v>
      </c>
      <c r="F18" s="6" t="str">
        <f t="shared" si="6"/>
        <v>622</v>
      </c>
      <c r="G18" s="7">
        <f t="shared" si="4"/>
        <v>44.216666666666669</v>
      </c>
      <c r="H18" s="7">
        <f t="shared" si="0"/>
        <v>0</v>
      </c>
      <c r="I18" s="7">
        <f t="shared" si="7"/>
        <v>0</v>
      </c>
    </row>
    <row r="19" spans="1:9" x14ac:dyDescent="0.35">
      <c r="A19" s="4"/>
      <c r="B19" s="10"/>
      <c r="C19" s="14" t="s">
        <v>24</v>
      </c>
      <c r="D19" s="14" t="s">
        <v>25</v>
      </c>
      <c r="E19" s="12" t="str">
        <f t="shared" si="5"/>
        <v>4420.09</v>
      </c>
      <c r="F19" s="6" t="str">
        <f t="shared" si="6"/>
        <v>6137.53</v>
      </c>
      <c r="G19" s="7">
        <f t="shared" si="4"/>
        <v>44.334833333333336</v>
      </c>
      <c r="H19" s="7">
        <f t="shared" si="0"/>
        <v>61.625500000000002</v>
      </c>
      <c r="I19" s="7">
        <f t="shared" si="7"/>
        <v>-61.625500000000002</v>
      </c>
    </row>
    <row r="20" spans="1:9" x14ac:dyDescent="0.35">
      <c r="A20" s="4"/>
      <c r="B20" s="10"/>
      <c r="C20" s="14" t="s">
        <v>26</v>
      </c>
      <c r="D20" s="14" t="s">
        <v>27</v>
      </c>
      <c r="E20" s="12" t="str">
        <f t="shared" si="5"/>
        <v>4420.69</v>
      </c>
      <c r="F20" s="6" t="str">
        <f t="shared" si="6"/>
        <v>6135.39</v>
      </c>
      <c r="G20" s="7">
        <f t="shared" si="4"/>
        <v>44.344833333333334</v>
      </c>
      <c r="H20" s="7">
        <f t="shared" si="0"/>
        <v>61.589833333333331</v>
      </c>
      <c r="I20" s="7">
        <f t="shared" si="7"/>
        <v>-61.589833333333331</v>
      </c>
    </row>
    <row r="21" spans="1:9" x14ac:dyDescent="0.35">
      <c r="A21" s="4"/>
      <c r="B21" s="10"/>
      <c r="C21" s="14" t="s">
        <v>26</v>
      </c>
      <c r="D21" s="14" t="s">
        <v>27</v>
      </c>
      <c r="E21" s="12" t="str">
        <f t="shared" si="5"/>
        <v>4420.69</v>
      </c>
      <c r="F21" s="6" t="str">
        <f t="shared" si="6"/>
        <v>6135.39</v>
      </c>
      <c r="G21" s="7">
        <f t="shared" si="4"/>
        <v>44.344833333333334</v>
      </c>
      <c r="H21" s="7">
        <f t="shared" si="0"/>
        <v>61.589833333333331</v>
      </c>
      <c r="I21" s="7">
        <f t="shared" si="7"/>
        <v>-61.589833333333331</v>
      </c>
    </row>
    <row r="22" spans="1:9" x14ac:dyDescent="0.35">
      <c r="A22" s="8"/>
      <c r="B22" s="8"/>
      <c r="C22" s="15">
        <v>44.22</v>
      </c>
      <c r="D22" s="15">
        <v>61.44</v>
      </c>
      <c r="E22" s="12" t="str">
        <f t="shared" si="5"/>
        <v>4422</v>
      </c>
      <c r="F22" s="6" t="str">
        <f t="shared" si="6"/>
        <v>6144</v>
      </c>
      <c r="G22" s="7">
        <f t="shared" si="4"/>
        <v>44.366666666666667</v>
      </c>
      <c r="H22" s="7">
        <f t="shared" si="0"/>
        <v>61.733333333333334</v>
      </c>
      <c r="I22" s="7">
        <f t="shared" si="7"/>
        <v>-61.733333333333334</v>
      </c>
    </row>
    <row r="23" spans="1:9" x14ac:dyDescent="0.35">
      <c r="A23" s="8"/>
      <c r="B23" s="8"/>
      <c r="C23" s="15" t="s">
        <v>28</v>
      </c>
      <c r="D23" s="15">
        <v>62.02</v>
      </c>
      <c r="E23" s="12" t="str">
        <f t="shared" si="5"/>
        <v>4406.56</v>
      </c>
      <c r="F23" s="6" t="str">
        <f t="shared" si="6"/>
        <v>6202</v>
      </c>
      <c r="G23" s="7">
        <f t="shared" si="4"/>
        <v>44.109333333333332</v>
      </c>
      <c r="H23" s="7">
        <f t="shared" si="0"/>
        <v>62.033333333333331</v>
      </c>
      <c r="I23" s="7">
        <f t="shared" si="7"/>
        <v>-62.033333333333331</v>
      </c>
    </row>
    <row r="24" spans="1:9" x14ac:dyDescent="0.35">
      <c r="A24" s="8"/>
      <c r="B24" s="8"/>
      <c r="C24" s="15" t="s">
        <v>29</v>
      </c>
      <c r="D24" s="15" t="s">
        <v>30</v>
      </c>
      <c r="E24" s="12" t="str">
        <f t="shared" si="5"/>
        <v>4407.77</v>
      </c>
      <c r="F24" s="6" t="str">
        <f t="shared" si="6"/>
        <v>6202.62</v>
      </c>
      <c r="G24" s="7">
        <f t="shared" si="4"/>
        <v>44.1295</v>
      </c>
      <c r="H24" s="7">
        <f t="shared" si="0"/>
        <v>62.043666666666667</v>
      </c>
      <c r="I24" s="7">
        <f t="shared" si="7"/>
        <v>-62.043666666666667</v>
      </c>
    </row>
    <row r="25" spans="1:9" x14ac:dyDescent="0.35">
      <c r="A25" s="8"/>
      <c r="B25" s="8"/>
      <c r="C25" s="15">
        <v>43.58</v>
      </c>
      <c r="D25" s="15">
        <v>62.27</v>
      </c>
      <c r="E25" s="12" t="str">
        <f t="shared" si="5"/>
        <v>4358</v>
      </c>
      <c r="F25" s="6" t="str">
        <f t="shared" si="6"/>
        <v>6227</v>
      </c>
      <c r="G25" s="7">
        <f t="shared" si="4"/>
        <v>43.966666666666669</v>
      </c>
      <c r="H25" s="7">
        <f t="shared" si="0"/>
        <v>62.45</v>
      </c>
      <c r="I25" s="7">
        <f t="shared" si="7"/>
        <v>-62.45</v>
      </c>
    </row>
    <row r="26" spans="1:9" x14ac:dyDescent="0.35">
      <c r="A26" s="8"/>
      <c r="B26" s="8"/>
      <c r="C26" s="15">
        <v>43.59</v>
      </c>
      <c r="D26" s="15">
        <v>63.03</v>
      </c>
      <c r="E26" s="12" t="str">
        <f t="shared" si="5"/>
        <v>4359</v>
      </c>
      <c r="F26" s="6" t="str">
        <f t="shared" si="6"/>
        <v>6303</v>
      </c>
      <c r="G26" s="7">
        <f t="shared" si="4"/>
        <v>43.983333333333334</v>
      </c>
      <c r="H26" s="7">
        <f t="shared" si="0"/>
        <v>63.05</v>
      </c>
      <c r="I26" s="7">
        <f t="shared" si="7"/>
        <v>-63.05</v>
      </c>
    </row>
    <row r="27" spans="1:9" x14ac:dyDescent="0.35">
      <c r="A27" s="8"/>
      <c r="B27" s="8"/>
      <c r="C27" s="15"/>
      <c r="D27" s="15"/>
      <c r="E27" s="12" t="str">
        <f t="shared" si="5"/>
        <v/>
      </c>
      <c r="F27" s="6" t="str">
        <f t="shared" si="6"/>
        <v/>
      </c>
      <c r="G27" s="7">
        <f t="shared" si="4"/>
        <v>0</v>
      </c>
      <c r="H27" s="7">
        <f t="shared" si="0"/>
        <v>0</v>
      </c>
      <c r="I27" s="7">
        <f t="shared" si="7"/>
        <v>0</v>
      </c>
    </row>
    <row r="28" spans="1:9" x14ac:dyDescent="0.35">
      <c r="A28" s="8"/>
      <c r="B28" s="8"/>
      <c r="C28" s="15"/>
      <c r="D28" s="15"/>
      <c r="E28" s="12" t="str">
        <f t="shared" si="5"/>
        <v/>
      </c>
      <c r="F28" s="6" t="str">
        <f t="shared" si="6"/>
        <v/>
      </c>
      <c r="G28" s="7">
        <f t="shared" si="4"/>
        <v>0</v>
      </c>
      <c r="H28" s="7">
        <f t="shared" si="0"/>
        <v>0</v>
      </c>
      <c r="I28" s="7">
        <f t="shared" si="7"/>
        <v>0</v>
      </c>
    </row>
    <row r="29" spans="1:9" x14ac:dyDescent="0.35">
      <c r="A29" s="8"/>
      <c r="B29" s="8"/>
      <c r="C29" s="15"/>
      <c r="D29" s="15"/>
      <c r="E29" s="12" t="str">
        <f t="shared" si="5"/>
        <v/>
      </c>
      <c r="F29" s="6" t="str">
        <f t="shared" si="6"/>
        <v/>
      </c>
      <c r="G29" s="7">
        <f t="shared" si="4"/>
        <v>0</v>
      </c>
      <c r="H29" s="7">
        <f t="shared" si="0"/>
        <v>0</v>
      </c>
      <c r="I29" s="7">
        <f t="shared" si="7"/>
        <v>0</v>
      </c>
    </row>
    <row r="30" spans="1:9" x14ac:dyDescent="0.35">
      <c r="A30" s="8"/>
      <c r="B30" s="8"/>
      <c r="C30" s="15"/>
      <c r="D30" s="15"/>
      <c r="E30" s="12" t="str">
        <f t="shared" si="5"/>
        <v/>
      </c>
      <c r="F30" s="6" t="str">
        <f t="shared" si="6"/>
        <v/>
      </c>
      <c r="G30" s="7">
        <f t="shared" si="4"/>
        <v>0</v>
      </c>
      <c r="H30" s="7">
        <f t="shared" si="0"/>
        <v>0</v>
      </c>
      <c r="I30" s="7">
        <f t="shared" si="7"/>
        <v>0</v>
      </c>
    </row>
    <row r="31" spans="1:9" x14ac:dyDescent="0.35">
      <c r="A31" s="8"/>
      <c r="B31" s="8"/>
      <c r="C31" s="15"/>
      <c r="D31" s="15"/>
      <c r="E31" s="12" t="str">
        <f t="shared" si="5"/>
        <v/>
      </c>
      <c r="F31" s="6" t="str">
        <f t="shared" si="6"/>
        <v/>
      </c>
      <c r="G31" s="7">
        <f t="shared" si="4"/>
        <v>0</v>
      </c>
      <c r="H31" s="7">
        <f t="shared" si="0"/>
        <v>0</v>
      </c>
      <c r="I31" s="7">
        <f t="shared" si="7"/>
        <v>0</v>
      </c>
    </row>
    <row r="32" spans="1:9" x14ac:dyDescent="0.35">
      <c r="A32" s="8"/>
      <c r="B32" s="8"/>
      <c r="C32" s="15"/>
      <c r="D32" s="15"/>
      <c r="E32" s="12" t="str">
        <f t="shared" si="5"/>
        <v/>
      </c>
      <c r="F32" s="6" t="str">
        <f t="shared" si="6"/>
        <v/>
      </c>
      <c r="G32" s="7">
        <f t="shared" si="4"/>
        <v>0</v>
      </c>
      <c r="H32" s="7">
        <f t="shared" si="0"/>
        <v>0</v>
      </c>
      <c r="I32" s="7">
        <f t="shared" si="7"/>
        <v>0</v>
      </c>
    </row>
    <row r="33" spans="1:9" x14ac:dyDescent="0.35">
      <c r="A33" s="8"/>
      <c r="B33" s="8"/>
      <c r="C33" s="15"/>
      <c r="D33" s="15"/>
      <c r="E33" s="12" t="str">
        <f t="shared" si="5"/>
        <v/>
      </c>
      <c r="F33" s="6" t="str">
        <f t="shared" si="6"/>
        <v/>
      </c>
      <c r="G33" s="7">
        <f t="shared" si="4"/>
        <v>0</v>
      </c>
      <c r="H33" s="7">
        <f t="shared" si="0"/>
        <v>0</v>
      </c>
      <c r="I33" s="7">
        <f t="shared" si="7"/>
        <v>0</v>
      </c>
    </row>
    <row r="34" spans="1:9" x14ac:dyDescent="0.35">
      <c r="A34" s="8"/>
      <c r="B34" s="8"/>
      <c r="C34" s="15"/>
      <c r="D34" s="15"/>
      <c r="E34" s="12" t="str">
        <f t="shared" si="5"/>
        <v/>
      </c>
      <c r="F34" s="6" t="str">
        <f t="shared" si="6"/>
        <v/>
      </c>
      <c r="G34" s="7">
        <f t="shared" si="4"/>
        <v>0</v>
      </c>
      <c r="H34" s="7">
        <f t="shared" si="0"/>
        <v>0</v>
      </c>
      <c r="I34" s="7">
        <f t="shared" si="7"/>
        <v>0</v>
      </c>
    </row>
    <row r="35" spans="1:9" x14ac:dyDescent="0.35">
      <c r="A35" s="8"/>
      <c r="B35" s="8"/>
      <c r="C35" s="15"/>
      <c r="D35" s="15"/>
      <c r="E35" s="12" t="str">
        <f t="shared" si="5"/>
        <v/>
      </c>
      <c r="F35" s="6" t="str">
        <f t="shared" si="6"/>
        <v/>
      </c>
      <c r="G35" s="7">
        <f t="shared" si="4"/>
        <v>0</v>
      </c>
      <c r="H35" s="7">
        <f t="shared" si="0"/>
        <v>0</v>
      </c>
      <c r="I35" s="7">
        <f t="shared" si="7"/>
        <v>0</v>
      </c>
    </row>
    <row r="36" spans="1:9" x14ac:dyDescent="0.35">
      <c r="A36" s="8"/>
      <c r="B36" s="8"/>
      <c r="C36" s="15"/>
      <c r="D36" s="15"/>
      <c r="E36" s="12" t="str">
        <f t="shared" si="5"/>
        <v/>
      </c>
      <c r="F36" s="6" t="str">
        <f t="shared" si="6"/>
        <v/>
      </c>
      <c r="G36" s="7">
        <f t="shared" si="4"/>
        <v>0</v>
      </c>
      <c r="H36" s="7">
        <f t="shared" si="0"/>
        <v>0</v>
      </c>
      <c r="I36" s="7">
        <f t="shared" si="7"/>
        <v>0</v>
      </c>
    </row>
    <row r="37" spans="1:9" x14ac:dyDescent="0.35">
      <c r="A37" s="8"/>
      <c r="B37" s="8"/>
      <c r="C37" s="15"/>
      <c r="D37" s="15"/>
      <c r="E37" s="12" t="str">
        <f t="shared" si="5"/>
        <v/>
      </c>
      <c r="F37" s="6" t="str">
        <f t="shared" si="6"/>
        <v/>
      </c>
      <c r="G37" s="7">
        <f t="shared" si="4"/>
        <v>0</v>
      </c>
      <c r="H37" s="7">
        <f t="shared" si="0"/>
        <v>0</v>
      </c>
      <c r="I37" s="7">
        <f t="shared" si="7"/>
        <v>0</v>
      </c>
    </row>
    <row r="38" spans="1:9" x14ac:dyDescent="0.35">
      <c r="E38" s="12" t="str">
        <f t="shared" si="5"/>
        <v/>
      </c>
      <c r="F38" s="6" t="str">
        <f t="shared" si="6"/>
        <v/>
      </c>
      <c r="G38" s="7">
        <f t="shared" si="4"/>
        <v>0</v>
      </c>
      <c r="H38" s="7">
        <f t="shared" si="0"/>
        <v>0</v>
      </c>
      <c r="I38" s="7">
        <f t="shared" si="7"/>
        <v>0</v>
      </c>
    </row>
    <row r="39" spans="1:9" x14ac:dyDescent="0.35">
      <c r="E39" s="1"/>
      <c r="F39" s="1"/>
    </row>
    <row r="40" spans="1:9" x14ac:dyDescent="0.35">
      <c r="E40" s="1"/>
      <c r="F40" s="1"/>
    </row>
    <row r="41" spans="1:9" x14ac:dyDescent="0.35">
      <c r="E41" s="1"/>
      <c r="F41" s="1"/>
    </row>
    <row r="42" spans="1:9" x14ac:dyDescent="0.35">
      <c r="E42" s="1"/>
      <c r="F42" s="1"/>
    </row>
    <row r="43" spans="1:9" x14ac:dyDescent="0.35">
      <c r="E43" s="1"/>
      <c r="F43" s="1"/>
    </row>
    <row r="44" spans="1:9" x14ac:dyDescent="0.35">
      <c r="E44" s="1"/>
      <c r="F44" s="1"/>
    </row>
    <row r="45" spans="1:9" x14ac:dyDescent="0.35">
      <c r="E45" s="1"/>
      <c r="F45" s="1"/>
    </row>
    <row r="46" spans="1:9" x14ac:dyDescent="0.35">
      <c r="E46" s="1"/>
      <c r="F46" s="1"/>
    </row>
    <row r="51" spans="5:9" x14ac:dyDescent="0.35">
      <c r="G51" s="3">
        <f t="shared" ref="G51:H72" si="8">IF(LEN(E51)=4,(LEFT(E51,2))+((RIGHT(E51,2))/60),IF(LEN(E51)=6,(LEFT(E51,2))+((RIGHT(E51,4))/60),IF(LEN(E51)=7,(LEFT(E51,2))+((RIGHT(E51,5))/60),IF(LEN(E51)=8,(LEFT(E51,2))+((RIGHT(E51,6))/60),IF(LEN(E51)=9,(LEFT(E51,2))+((RIGHT(E51,7))/60),0)))))</f>
        <v>0</v>
      </c>
      <c r="H51" s="3">
        <f t="shared" si="8"/>
        <v>0</v>
      </c>
      <c r="I51" s="3">
        <f t="shared" si="7"/>
        <v>0</v>
      </c>
    </row>
    <row r="52" spans="5:9" x14ac:dyDescent="0.35">
      <c r="G52" s="3">
        <f t="shared" si="8"/>
        <v>0</v>
      </c>
      <c r="H52" s="3">
        <f t="shared" si="8"/>
        <v>0</v>
      </c>
      <c r="I52" s="3">
        <f t="shared" si="7"/>
        <v>0</v>
      </c>
    </row>
    <row r="53" spans="5:9" x14ac:dyDescent="0.35">
      <c r="G53" s="3">
        <f t="shared" si="8"/>
        <v>0</v>
      </c>
      <c r="H53" s="3">
        <f t="shared" si="8"/>
        <v>0</v>
      </c>
      <c r="I53" s="3">
        <f t="shared" si="7"/>
        <v>0</v>
      </c>
    </row>
    <row r="54" spans="5:9" x14ac:dyDescent="0.35">
      <c r="G54" s="3">
        <f t="shared" si="8"/>
        <v>0</v>
      </c>
      <c r="H54" s="3">
        <f t="shared" si="8"/>
        <v>0</v>
      </c>
      <c r="I54" s="3">
        <f t="shared" si="7"/>
        <v>0</v>
      </c>
    </row>
    <row r="55" spans="5:9" x14ac:dyDescent="0.35">
      <c r="G55" s="3">
        <f t="shared" si="8"/>
        <v>0</v>
      </c>
      <c r="H55" s="3">
        <f t="shared" si="8"/>
        <v>0</v>
      </c>
      <c r="I55" s="3">
        <f t="shared" si="7"/>
        <v>0</v>
      </c>
    </row>
    <row r="56" spans="5:9" x14ac:dyDescent="0.35">
      <c r="E56" s="2">
        <v>4423.16</v>
      </c>
      <c r="F56" s="2">
        <v>6642.64</v>
      </c>
      <c r="G56" s="3">
        <f t="shared" si="8"/>
        <v>44.386000000000003</v>
      </c>
      <c r="H56" s="3">
        <f t="shared" si="8"/>
        <v>66.710666666666668</v>
      </c>
      <c r="I56" s="3">
        <f t="shared" si="7"/>
        <v>-66.710666666666668</v>
      </c>
    </row>
    <row r="57" spans="5:9" x14ac:dyDescent="0.35">
      <c r="E57" s="2">
        <v>4423.55</v>
      </c>
      <c r="F57" s="2">
        <v>6643.7179999999998</v>
      </c>
      <c r="G57" s="3">
        <f t="shared" si="8"/>
        <v>44.392499999999998</v>
      </c>
      <c r="H57" s="3">
        <f t="shared" si="8"/>
        <v>66.728633333333335</v>
      </c>
      <c r="I57" s="3">
        <f t="shared" si="7"/>
        <v>-66.728633333333335</v>
      </c>
    </row>
    <row r="58" spans="5:9" x14ac:dyDescent="0.35">
      <c r="E58" s="2">
        <v>4423.9400000000005</v>
      </c>
      <c r="F58" s="2">
        <v>6644.7959999999994</v>
      </c>
      <c r="G58" s="3">
        <f t="shared" si="8"/>
        <v>44.399000000000001</v>
      </c>
      <c r="H58" s="3">
        <f t="shared" si="8"/>
        <v>66.746600000000001</v>
      </c>
      <c r="I58" s="3">
        <f t="shared" si="7"/>
        <v>-66.746600000000001</v>
      </c>
    </row>
    <row r="59" spans="5:9" x14ac:dyDescent="0.35">
      <c r="E59" s="2">
        <v>4424.3300000000008</v>
      </c>
      <c r="F59" s="2">
        <v>6645.8739999999989</v>
      </c>
      <c r="G59" s="3">
        <f t="shared" si="8"/>
        <v>44.405500000000004</v>
      </c>
      <c r="H59" s="3">
        <f t="shared" si="8"/>
        <v>66.764566666666667</v>
      </c>
      <c r="I59" s="3">
        <f t="shared" si="7"/>
        <v>-66.764566666666667</v>
      </c>
    </row>
    <row r="60" spans="5:9" x14ac:dyDescent="0.35">
      <c r="E60" s="2">
        <v>4424.7200000000012</v>
      </c>
      <c r="F60" s="2">
        <v>6646.9519999999984</v>
      </c>
      <c r="G60" s="3">
        <f t="shared" si="8"/>
        <v>44.411999999999999</v>
      </c>
      <c r="H60" s="3">
        <f t="shared" si="8"/>
        <v>66.782533333333333</v>
      </c>
      <c r="I60" s="3">
        <f t="shared" si="7"/>
        <v>-66.782533333333333</v>
      </c>
    </row>
    <row r="61" spans="5:9" x14ac:dyDescent="0.35">
      <c r="E61" s="2">
        <v>4425.1100000000015</v>
      </c>
      <c r="F61" s="2">
        <v>6648.0299999999979</v>
      </c>
      <c r="G61" s="3">
        <f t="shared" si="8"/>
        <v>44.418500000000002</v>
      </c>
      <c r="H61" s="3">
        <f t="shared" si="8"/>
        <v>66.8005</v>
      </c>
      <c r="I61" s="3">
        <f t="shared" si="7"/>
        <v>-66.8005</v>
      </c>
    </row>
    <row r="62" spans="5:9" x14ac:dyDescent="0.35">
      <c r="E62" s="2">
        <v>4417.97</v>
      </c>
      <c r="F62" s="2">
        <v>6656.97</v>
      </c>
      <c r="G62" s="3">
        <f t="shared" si="8"/>
        <v>44.299500000000002</v>
      </c>
      <c r="H62" s="3">
        <f t="shared" si="8"/>
        <v>66.9495</v>
      </c>
      <c r="I62" s="3">
        <f t="shared" si="7"/>
        <v>-66.9495</v>
      </c>
    </row>
    <row r="63" spans="5:9" x14ac:dyDescent="0.35">
      <c r="E63" s="2">
        <v>4418.1239999999998</v>
      </c>
      <c r="F63" s="2">
        <v>6657.91</v>
      </c>
      <c r="G63" s="3">
        <f t="shared" si="8"/>
        <v>44.302066666666668</v>
      </c>
      <c r="H63" s="3">
        <f t="shared" si="8"/>
        <v>66.965166666666661</v>
      </c>
      <c r="I63" s="3">
        <f t="shared" si="7"/>
        <v>-66.965166666666661</v>
      </c>
    </row>
    <row r="64" spans="5:9" x14ac:dyDescent="0.35">
      <c r="E64" s="2">
        <v>4418.2779999999993</v>
      </c>
      <c r="F64" s="2">
        <v>6658.8499999999995</v>
      </c>
      <c r="G64" s="3">
        <f t="shared" si="8"/>
        <v>44.304633333333335</v>
      </c>
      <c r="H64" s="3">
        <f t="shared" si="8"/>
        <v>66.980833333333337</v>
      </c>
      <c r="I64" s="3">
        <f t="shared" si="7"/>
        <v>-66.980833333333337</v>
      </c>
    </row>
    <row r="65" spans="5:9" x14ac:dyDescent="0.35">
      <c r="E65" s="2">
        <v>4418.4319999999989</v>
      </c>
      <c r="F65" s="2">
        <v>6659.7899999999991</v>
      </c>
      <c r="G65" s="3">
        <f t="shared" si="8"/>
        <v>44.307200000000002</v>
      </c>
      <c r="H65" s="3">
        <f t="shared" si="8"/>
        <v>66.996499999999997</v>
      </c>
      <c r="I65" s="3">
        <f t="shared" si="7"/>
        <v>-66.996499999999997</v>
      </c>
    </row>
    <row r="66" spans="5:9" x14ac:dyDescent="0.35">
      <c r="E66" s="2">
        <v>4418.5859999999984</v>
      </c>
      <c r="F66" s="2">
        <v>6700.7400000000007</v>
      </c>
      <c r="G66" s="3">
        <f t="shared" si="8"/>
        <v>44.309766666666668</v>
      </c>
      <c r="H66" s="3">
        <f t="shared" si="8"/>
        <v>67.012333333333331</v>
      </c>
      <c r="I66" s="3">
        <f t="shared" si="7"/>
        <v>-67.012333333333331</v>
      </c>
    </row>
    <row r="67" spans="5:9" x14ac:dyDescent="0.35">
      <c r="E67" s="2">
        <v>4418.739999999998</v>
      </c>
      <c r="F67" s="2">
        <v>6701.68</v>
      </c>
      <c r="G67" s="3">
        <f t="shared" si="8"/>
        <v>44.312333333333335</v>
      </c>
      <c r="H67" s="3">
        <f t="shared" si="8"/>
        <v>67.028000000000006</v>
      </c>
      <c r="I67" s="3">
        <f t="shared" si="7"/>
        <v>-67.028000000000006</v>
      </c>
    </row>
    <row r="68" spans="5:9" x14ac:dyDescent="0.35">
      <c r="G68" s="3">
        <f t="shared" si="8"/>
        <v>0</v>
      </c>
      <c r="H68" s="3">
        <f t="shared" si="8"/>
        <v>0</v>
      </c>
      <c r="I68" s="3">
        <f t="shared" si="7"/>
        <v>0</v>
      </c>
    </row>
    <row r="69" spans="5:9" x14ac:dyDescent="0.35">
      <c r="G69" s="3">
        <f t="shared" si="8"/>
        <v>0</v>
      </c>
      <c r="H69" s="3">
        <f t="shared" si="8"/>
        <v>0</v>
      </c>
      <c r="I69" s="3">
        <f t="shared" si="7"/>
        <v>0</v>
      </c>
    </row>
    <row r="70" spans="5:9" x14ac:dyDescent="0.35">
      <c r="G70" s="3">
        <f t="shared" si="8"/>
        <v>0</v>
      </c>
      <c r="H70" s="3">
        <f t="shared" si="8"/>
        <v>0</v>
      </c>
      <c r="I70" s="3">
        <f t="shared" ref="I70:I80" si="9">H70*-1</f>
        <v>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a15ca5b-4450-4fec-8212-75ae51eef6c9">
      <Terms xmlns="http://schemas.microsoft.com/office/infopath/2007/PartnerControls"/>
    </lcf76f155ced4ddcb4097134ff3c332f>
    <TaxCatchAll xmlns="9b77705d-b477-4602-ae15-a5316c12e63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D11C961C81B704A857A44625345A9FE" ma:contentTypeVersion="14" ma:contentTypeDescription="Create a new document." ma:contentTypeScope="" ma:versionID="72b257d8314ef7a2ab31531faa9b90b7">
  <xsd:schema xmlns:xsd="http://www.w3.org/2001/XMLSchema" xmlns:xs="http://www.w3.org/2001/XMLSchema" xmlns:p="http://schemas.microsoft.com/office/2006/metadata/properties" xmlns:ns2="aa15ca5b-4450-4fec-8212-75ae51eef6c9" xmlns:ns3="9b77705d-b477-4602-ae15-a5316c12e631" targetNamespace="http://schemas.microsoft.com/office/2006/metadata/properties" ma:root="true" ma:fieldsID="ff276488af601f7e2fa1b21c9dc482d0" ns2:_="" ns3:_="">
    <xsd:import namespace="aa15ca5b-4450-4fec-8212-75ae51eef6c9"/>
    <xsd:import namespace="9b77705d-b477-4602-ae15-a5316c12e6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15ca5b-4450-4fec-8212-75ae51eef6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d2054c4b-04cf-4504-9cda-34f00fd6e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77705d-b477-4602-ae15-a5316c12e631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bfa22ba5-fa17-4ee1-9400-080c36c8b2c1}" ma:internalName="TaxCatchAll" ma:showField="CatchAllData" ma:web="9b77705d-b477-4602-ae15-a5316c12e63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5031341-7841-48D6-85C0-6E5873F6539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9111224-8D0F-484D-AE19-DCF2A23EB361}">
  <ds:schemaRefs>
    <ds:schemaRef ds:uri="http://schemas.microsoft.com/office/2006/metadata/properties"/>
    <ds:schemaRef ds:uri="http://schemas.microsoft.com/office/infopath/2007/PartnerControls"/>
    <ds:schemaRef ds:uri="aa15ca5b-4450-4fec-8212-75ae51eef6c9"/>
    <ds:schemaRef ds:uri="9b77705d-b477-4602-ae15-a5316c12e631"/>
  </ds:schemaRefs>
</ds:datastoreItem>
</file>

<file path=customXml/itemProps3.xml><?xml version="1.0" encoding="utf-8"?>
<ds:datastoreItem xmlns:ds="http://schemas.openxmlformats.org/officeDocument/2006/customXml" ds:itemID="{29973205-1FC7-4330-BCB6-634075C5E20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a15ca5b-4450-4fec-8212-75ae51eef6c9"/>
    <ds:schemaRef ds:uri="9b77705d-b477-4602-ae15-a5316c12e6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Lines</vt:lpstr>
      <vt:lpstr>Lines (2)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Herring Science</dc:creator>
  <cp:keywords/>
  <dc:description/>
  <cp:lastModifiedBy>Herring Science</cp:lastModifiedBy>
  <cp:revision/>
  <dcterms:created xsi:type="dcterms:W3CDTF">2019-02-22T13:59:58Z</dcterms:created>
  <dcterms:modified xsi:type="dcterms:W3CDTF">2026-10-21T12:13:34Z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0x010100BD11C961C81B704A857A44625345A9FE</vt:lpwstr>
  </property>
</Properties>
</file>