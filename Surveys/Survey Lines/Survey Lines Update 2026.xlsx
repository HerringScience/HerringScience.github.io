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herringscience-my.sharepoint.com/personal/tleask_herringscience_ca/Documents/Documents/GitHub/HerringScience.github.io/Surveys/Survey Lines/"/>
    </mc:Choice>
  </mc:AlternateContent>
  <xr:revisionPtr revIDLastSave="152" documentId="8_{28576906-8F12-465F-A02E-65533221480B}" xr6:coauthVersionLast="47" xr6:coauthVersionMax="47" xr10:uidLastSave="{C8D75F5F-C8CF-4993-9FE8-7D65B1BE67A4}"/>
  <bookViews>
    <workbookView xWindow="-38510" yWindow="-20" windowWidth="38620" windowHeight="21100" xr2:uid="{00000000-000D-0000-FFFF-FFFF00000000}"/>
  </bookViews>
  <sheets>
    <sheet name="Data Entry" sheetId="1" r:id="rId1"/>
    <sheet name="survey plan" sheetId="2" r:id="rId2"/>
    <sheet name="Table" sheetId="3" r:id="rId3"/>
    <sheet name="Back En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8" roundtripDataSignature="AMtx7mgZvlOlFnpfa38rdxs3NIdDqdiG0w=="/>
    </ext>
  </extLst>
</workbook>
</file>

<file path=xl/calcChain.xml><?xml version="1.0" encoding="utf-8"?>
<calcChain xmlns="http://schemas.openxmlformats.org/spreadsheetml/2006/main">
  <c r="A41" i="1" l="1"/>
  <c r="A42" i="1" s="1"/>
  <c r="A43" i="1" s="1"/>
  <c r="A44" i="1" s="1"/>
  <c r="A45" i="1" s="1"/>
  <c r="A46" i="1" s="1"/>
  <c r="A47" i="1" s="1"/>
  <c r="A48" i="1" s="1"/>
  <c r="A49" i="1" s="1"/>
  <c r="A50" i="1" s="1"/>
  <c r="B9" i="1"/>
  <c r="R46" i="4"/>
  <c r="R45" i="4"/>
  <c r="R44" i="4"/>
  <c r="R43" i="4"/>
  <c r="R42" i="4"/>
  <c r="R41" i="4"/>
  <c r="R40" i="4"/>
  <c r="R39" i="4"/>
  <c r="R38" i="4"/>
  <c r="R37" i="4"/>
  <c r="R36" i="4"/>
  <c r="R35" i="4"/>
  <c r="P46" i="4"/>
  <c r="P45" i="4"/>
  <c r="P44" i="4"/>
  <c r="P43" i="4"/>
  <c r="P42" i="4"/>
  <c r="P41" i="4"/>
  <c r="P40" i="4"/>
  <c r="P39" i="4"/>
  <c r="P38" i="4"/>
  <c r="P37" i="4"/>
  <c r="P36" i="4"/>
  <c r="P35" i="4"/>
  <c r="K35" i="4"/>
  <c r="K36" i="4"/>
  <c r="K37" i="4"/>
  <c r="K38" i="4"/>
  <c r="K39" i="4"/>
  <c r="K40" i="4"/>
  <c r="K41" i="4" s="1"/>
  <c r="K42" i="4" s="1"/>
  <c r="K43" i="4" s="1"/>
  <c r="K44" i="4" s="1"/>
  <c r="K45" i="4" s="1"/>
  <c r="K46" i="4" s="1"/>
  <c r="F36" i="4"/>
  <c r="H36" i="4"/>
  <c r="F37" i="4"/>
  <c r="H37" i="4"/>
  <c r="F38" i="4"/>
  <c r="H38" i="4"/>
  <c r="F39" i="4"/>
  <c r="H39" i="4"/>
  <c r="F40" i="4"/>
  <c r="H40" i="4"/>
  <c r="F41" i="4"/>
  <c r="H41" i="4"/>
  <c r="F42" i="4"/>
  <c r="H42" i="4"/>
  <c r="F43" i="4"/>
  <c r="H43" i="4"/>
  <c r="F44" i="4"/>
  <c r="H44" i="4"/>
  <c r="F45" i="4"/>
  <c r="H45" i="4"/>
  <c r="F46" i="4"/>
  <c r="H46" i="4"/>
  <c r="F47" i="4"/>
  <c r="H47" i="4"/>
  <c r="A36" i="4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R34" i="4"/>
  <c r="R33" i="4"/>
  <c r="R32" i="4"/>
  <c r="R31" i="4"/>
  <c r="P34" i="4"/>
  <c r="P33" i="4"/>
  <c r="P32" i="4"/>
  <c r="P31" i="4"/>
  <c r="K34" i="4"/>
  <c r="K33" i="4"/>
  <c r="K32" i="4"/>
  <c r="K31" i="4"/>
  <c r="A32" i="4"/>
  <c r="A33" i="4" s="1"/>
  <c r="A34" i="4" s="1"/>
  <c r="A35" i="4" s="1"/>
  <c r="F32" i="4"/>
  <c r="H32" i="4"/>
  <c r="F33" i="4"/>
  <c r="H33" i="4"/>
  <c r="F34" i="4"/>
  <c r="H34" i="4"/>
  <c r="F35" i="4"/>
  <c r="H35" i="4"/>
  <c r="R30" i="4"/>
  <c r="R29" i="4"/>
  <c r="R28" i="4"/>
  <c r="R27" i="4"/>
  <c r="R26" i="4"/>
  <c r="R25" i="4"/>
  <c r="R24" i="4"/>
  <c r="R23" i="4"/>
  <c r="R22" i="4"/>
  <c r="R21" i="4"/>
  <c r="R20" i="4"/>
  <c r="R19" i="4"/>
  <c r="R18" i="4"/>
  <c r="R17" i="4"/>
  <c r="R16" i="4"/>
  <c r="R15" i="4"/>
  <c r="R14" i="4"/>
  <c r="R13" i="4"/>
  <c r="R12" i="4"/>
  <c r="R11" i="4"/>
  <c r="R10" i="4"/>
  <c r="R9" i="4"/>
  <c r="R8" i="4"/>
  <c r="R7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8" i="4"/>
  <c r="F8" i="4"/>
  <c r="AM20" i="4"/>
  <c r="AM21" i="4"/>
  <c r="AM22" i="4"/>
  <c r="AL20" i="4"/>
  <c r="AL21" i="4"/>
  <c r="AL22" i="4"/>
  <c r="AK20" i="4"/>
  <c r="AK21" i="4"/>
  <c r="AK22" i="4"/>
  <c r="AJ20" i="4"/>
  <c r="AJ21" i="4"/>
  <c r="AJ22" i="4"/>
  <c r="AM19" i="4"/>
  <c r="AK19" i="4"/>
  <c r="AL19" i="4"/>
  <c r="AJ19" i="4"/>
  <c r="AH15" i="4"/>
  <c r="AH16" i="4" s="1"/>
  <c r="AH17" i="4" s="1"/>
  <c r="AI15" i="4"/>
  <c r="AI16" i="4" s="1"/>
  <c r="AI17" i="4" s="1"/>
  <c r="AF16" i="4"/>
  <c r="AF17" i="4"/>
  <c r="AJ17" i="4"/>
  <c r="AL17" i="4"/>
  <c r="AM17" i="4"/>
  <c r="P9" i="1"/>
  <c r="Y7" i="4"/>
  <c r="AC7" i="4" s="1"/>
  <c r="AG7" i="4"/>
  <c r="AK7" i="4" s="1"/>
  <c r="AC2" i="4"/>
  <c r="AB2" i="4"/>
  <c r="AA2" i="4"/>
  <c r="Z2" i="4"/>
  <c r="AM2" i="4"/>
  <c r="AL2" i="4"/>
  <c r="AK2" i="4"/>
  <c r="AJ2" i="4"/>
  <c r="AJ11" i="4"/>
  <c r="AK11" i="4"/>
  <c r="AL11" i="4"/>
  <c r="AM11" i="4"/>
  <c r="AA25" i="4"/>
  <c r="AC25" i="4"/>
  <c r="AB25" i="4"/>
  <c r="Z25" i="4"/>
  <c r="X7" i="4"/>
  <c r="AB7" i="4" s="1"/>
  <c r="V7" i="4"/>
  <c r="Z7" i="4" s="1"/>
  <c r="AH7" i="4"/>
  <c r="AF7" i="4"/>
  <c r="AJ7" i="4" s="1"/>
  <c r="G48" i="4"/>
  <c r="F31" i="4"/>
  <c r="P30" i="4"/>
  <c r="F30" i="4"/>
  <c r="P29" i="4"/>
  <c r="F29" i="4"/>
  <c r="P28" i="4"/>
  <c r="F28" i="4"/>
  <c r="P27" i="4"/>
  <c r="F27" i="4"/>
  <c r="P26" i="4"/>
  <c r="F26" i="4"/>
  <c r="P25" i="4"/>
  <c r="F25" i="4"/>
  <c r="AA24" i="4"/>
  <c r="P24" i="4"/>
  <c r="F24" i="4"/>
  <c r="AA23" i="4"/>
  <c r="P23" i="4"/>
  <c r="F23" i="4"/>
  <c r="AA22" i="4"/>
  <c r="P22" i="4"/>
  <c r="F22" i="4"/>
  <c r="AA21" i="4"/>
  <c r="P21" i="4"/>
  <c r="F21" i="4"/>
  <c r="AA20" i="4"/>
  <c r="P20" i="4"/>
  <c r="F20" i="4"/>
  <c r="AA19" i="4"/>
  <c r="P19" i="4"/>
  <c r="F19" i="4"/>
  <c r="AA18" i="4"/>
  <c r="P18" i="4"/>
  <c r="F18" i="4"/>
  <c r="AA17" i="4"/>
  <c r="P17" i="4"/>
  <c r="F17" i="4"/>
  <c r="AA16" i="4"/>
  <c r="P16" i="4"/>
  <c r="F16" i="4"/>
  <c r="AA15" i="4"/>
  <c r="P15" i="4"/>
  <c r="F15" i="4"/>
  <c r="AA14" i="4"/>
  <c r="P14" i="4"/>
  <c r="F14" i="4"/>
  <c r="AA13" i="4"/>
  <c r="P13" i="4"/>
  <c r="F13" i="4"/>
  <c r="AA12" i="4"/>
  <c r="P12" i="4"/>
  <c r="F12" i="4"/>
  <c r="AA11" i="4"/>
  <c r="P11" i="4"/>
  <c r="F11" i="4"/>
  <c r="AM10" i="4"/>
  <c r="AA10" i="4"/>
  <c r="P10" i="4"/>
  <c r="F10" i="4"/>
  <c r="AM9" i="4"/>
  <c r="AA9" i="4"/>
  <c r="P9" i="4"/>
  <c r="F9" i="4"/>
  <c r="A9" i="4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M8" i="4"/>
  <c r="AA8" i="4"/>
  <c r="U8" i="4"/>
  <c r="U9" i="4" s="1"/>
  <c r="U10" i="4" s="1"/>
  <c r="U11" i="4" s="1"/>
  <c r="U12" i="4" s="1"/>
  <c r="U13" i="4" s="1"/>
  <c r="U14" i="4" s="1"/>
  <c r="U15" i="4" s="1"/>
  <c r="U16" i="4" s="1"/>
  <c r="U17" i="4" s="1"/>
  <c r="U18" i="4" s="1"/>
  <c r="U19" i="4" s="1"/>
  <c r="U20" i="4" s="1"/>
  <c r="U21" i="4" s="1"/>
  <c r="U22" i="4" s="1"/>
  <c r="U23" i="4" s="1"/>
  <c r="U24" i="4" s="1"/>
  <c r="P8" i="4"/>
  <c r="K8" i="4"/>
  <c r="K9" i="4" s="1"/>
  <c r="K10" i="4" s="1"/>
  <c r="K11" i="4" s="1"/>
  <c r="K12" i="4" s="1"/>
  <c r="K13" i="4" s="1"/>
  <c r="K14" i="4" s="1"/>
  <c r="K15" i="4" s="1"/>
  <c r="K16" i="4" s="1"/>
  <c r="K17" i="4" s="1"/>
  <c r="K18" i="4" s="1"/>
  <c r="K19" i="4" s="1"/>
  <c r="K20" i="4" s="1"/>
  <c r="K21" i="4" s="1"/>
  <c r="K22" i="4" s="1"/>
  <c r="K23" i="4" s="1"/>
  <c r="K24" i="4" s="1"/>
  <c r="K25" i="4" s="1"/>
  <c r="K26" i="4" s="1"/>
  <c r="K27" i="4" s="1"/>
  <c r="K28" i="4" s="1"/>
  <c r="K29" i="4" s="1"/>
  <c r="K30" i="4" s="1"/>
  <c r="C8" i="4"/>
  <c r="G8" i="4" s="1"/>
  <c r="I8" i="4" s="1"/>
  <c r="AM7" i="4"/>
  <c r="AL7" i="4"/>
  <c r="AA7" i="4"/>
  <c r="P7" i="4"/>
  <c r="M7" i="4"/>
  <c r="Q7" i="4" s="1"/>
  <c r="S7" i="4" s="1"/>
  <c r="AF4" i="4"/>
  <c r="AF5" i="4" s="1"/>
  <c r="B4" i="4"/>
  <c r="B5" i="4" s="1"/>
  <c r="B6" i="4" s="1"/>
  <c r="AI3" i="4"/>
  <c r="AI4" i="4" s="1"/>
  <c r="AH3" i="4"/>
  <c r="AH4" i="4" s="1"/>
  <c r="AH5" i="4" s="1"/>
  <c r="AH8" i="4" s="1"/>
  <c r="AG3" i="4"/>
  <c r="AG4" i="4" s="1"/>
  <c r="AG5" i="4" s="1"/>
  <c r="L9" i="1"/>
  <c r="O7" i="4" l="1"/>
  <c r="E8" i="4"/>
  <c r="C9" i="4"/>
  <c r="AG8" i="4"/>
  <c r="AK8" i="4" s="1"/>
  <c r="AF8" i="4"/>
  <c r="V3" i="4"/>
  <c r="X3" i="4" s="1"/>
  <c r="AL8" i="4"/>
  <c r="AH9" i="4"/>
  <c r="L4" i="4"/>
  <c r="L5" i="4" s="1"/>
  <c r="M8" i="4" s="1"/>
  <c r="E9" i="4" l="1"/>
  <c r="G9" i="4"/>
  <c r="I9" i="4" s="1"/>
  <c r="C10" i="4"/>
  <c r="C11" i="4" s="1"/>
  <c r="AG9" i="4"/>
  <c r="AG10" i="4" s="1"/>
  <c r="AK10" i="4" s="1"/>
  <c r="AF9" i="4"/>
  <c r="AJ8" i="4"/>
  <c r="V4" i="4"/>
  <c r="V5" i="4" s="1"/>
  <c r="V8" i="4" s="1"/>
  <c r="AJ9" i="4"/>
  <c r="AF10" i="4"/>
  <c r="AJ10" i="4" s="1"/>
  <c r="AK9" i="4"/>
  <c r="AL9" i="4"/>
  <c r="AH10" i="4"/>
  <c r="AL10" i="4" s="1"/>
  <c r="Q8" i="4"/>
  <c r="S8" i="4" s="1"/>
  <c r="O8" i="4"/>
  <c r="M9" i="4"/>
  <c r="E10" i="4" l="1"/>
  <c r="G10" i="4"/>
  <c r="I10" i="4" s="1"/>
  <c r="X4" i="4"/>
  <c r="Y4" i="4" s="1"/>
  <c r="Y5" i="4" s="1"/>
  <c r="Y8" i="4" s="1"/>
  <c r="G11" i="4"/>
  <c r="I11" i="4" s="1"/>
  <c r="E11" i="4"/>
  <c r="C12" i="4"/>
  <c r="Q9" i="4"/>
  <c r="S9" i="4" s="1"/>
  <c r="O9" i="4"/>
  <c r="M10" i="4"/>
  <c r="Z8" i="4"/>
  <c r="V9" i="4"/>
  <c r="X5" i="4" l="1"/>
  <c r="X8" i="4" s="1"/>
  <c r="AB8" i="4" s="1"/>
  <c r="V10" i="4"/>
  <c r="Z9" i="4"/>
  <c r="C13" i="4"/>
  <c r="G12" i="4"/>
  <c r="I12" i="4" s="1"/>
  <c r="E12" i="4"/>
  <c r="AC8" i="4"/>
  <c r="Y9" i="4"/>
  <c r="Q10" i="4"/>
  <c r="S10" i="4" s="1"/>
  <c r="O10" i="4"/>
  <c r="M11" i="4"/>
  <c r="X9" i="4" l="1"/>
  <c r="X10" i="4" s="1"/>
  <c r="M12" i="4"/>
  <c r="Q11" i="4"/>
  <c r="S11" i="4" s="1"/>
  <c r="O11" i="4"/>
  <c r="Y10" i="4"/>
  <c r="AC9" i="4"/>
  <c r="C14" i="4"/>
  <c r="G13" i="4"/>
  <c r="I13" i="4" s="1"/>
  <c r="E13" i="4"/>
  <c r="V11" i="4"/>
  <c r="Z10" i="4"/>
  <c r="AB9" i="4" l="1"/>
  <c r="E14" i="4"/>
  <c r="C15" i="4"/>
  <c r="G14" i="4"/>
  <c r="I14" i="4" s="1"/>
  <c r="Y11" i="4"/>
  <c r="AC10" i="4"/>
  <c r="Z11" i="4"/>
  <c r="V12" i="4"/>
  <c r="X11" i="4"/>
  <c r="AB10" i="4"/>
  <c r="M13" i="4"/>
  <c r="Q12" i="4"/>
  <c r="S12" i="4" s="1"/>
  <c r="O12" i="4"/>
  <c r="AB11" i="4" l="1"/>
  <c r="X12" i="4"/>
  <c r="M14" i="4"/>
  <c r="Q13" i="4"/>
  <c r="S13" i="4" s="1"/>
  <c r="O13" i="4"/>
  <c r="V13" i="4"/>
  <c r="Z12" i="4"/>
  <c r="Y12" i="4"/>
  <c r="AC11" i="4"/>
  <c r="C16" i="4"/>
  <c r="G15" i="4"/>
  <c r="I15" i="4" s="1"/>
  <c r="E15" i="4"/>
  <c r="G16" i="4" l="1"/>
  <c r="I16" i="4" s="1"/>
  <c r="E16" i="4"/>
  <c r="C17" i="4"/>
  <c r="Y13" i="4"/>
  <c r="AC12" i="4"/>
  <c r="V14" i="4"/>
  <c r="Z13" i="4"/>
  <c r="M15" i="4"/>
  <c r="Q14" i="4"/>
  <c r="S14" i="4" s="1"/>
  <c r="O14" i="4"/>
  <c r="X13" i="4"/>
  <c r="AB12" i="4"/>
  <c r="C18" i="4" l="1"/>
  <c r="G17" i="4"/>
  <c r="I17" i="4" s="1"/>
  <c r="E17" i="4"/>
  <c r="Q15" i="4"/>
  <c r="S15" i="4" s="1"/>
  <c r="O15" i="4"/>
  <c r="M16" i="4"/>
  <c r="Z14" i="4"/>
  <c r="V15" i="4"/>
  <c r="Y14" i="4"/>
  <c r="AC13" i="4"/>
  <c r="X14" i="4"/>
  <c r="AB13" i="4"/>
  <c r="V16" i="4" l="1"/>
  <c r="Z15" i="4"/>
  <c r="X15" i="4"/>
  <c r="AB14" i="4"/>
  <c r="Y15" i="4"/>
  <c r="AC14" i="4"/>
  <c r="M17" i="4"/>
  <c r="Q16" i="4"/>
  <c r="S16" i="4" s="1"/>
  <c r="O16" i="4"/>
  <c r="E18" i="4"/>
  <c r="C19" i="4"/>
  <c r="G18" i="4"/>
  <c r="I18" i="4" s="1"/>
  <c r="G19" i="4" l="1"/>
  <c r="I19" i="4" s="1"/>
  <c r="E19" i="4"/>
  <c r="C20" i="4"/>
  <c r="Q17" i="4"/>
  <c r="S17" i="4" s="1"/>
  <c r="O17" i="4"/>
  <c r="M18" i="4"/>
  <c r="Y16" i="4"/>
  <c r="AC15" i="4"/>
  <c r="X16" i="4"/>
  <c r="AB15" i="4"/>
  <c r="Z16" i="4"/>
  <c r="V17" i="4"/>
  <c r="V18" i="4" l="1"/>
  <c r="Z17" i="4"/>
  <c r="AB16" i="4"/>
  <c r="X17" i="4"/>
  <c r="M19" i="4"/>
  <c r="Q18" i="4"/>
  <c r="S18" i="4" s="1"/>
  <c r="O18" i="4"/>
  <c r="C21" i="4"/>
  <c r="G20" i="4"/>
  <c r="I20" i="4" s="1"/>
  <c r="E20" i="4"/>
  <c r="Y17" i="4"/>
  <c r="AC16" i="4"/>
  <c r="X18" i="4" l="1"/>
  <c r="AB17" i="4"/>
  <c r="Y18" i="4"/>
  <c r="AC17" i="4"/>
  <c r="E21" i="4"/>
  <c r="C22" i="4"/>
  <c r="G21" i="4"/>
  <c r="I21" i="4" s="1"/>
  <c r="Q19" i="4"/>
  <c r="S19" i="4" s="1"/>
  <c r="O19" i="4"/>
  <c r="M20" i="4"/>
  <c r="Z18" i="4"/>
  <c r="V19" i="4"/>
  <c r="V20" i="4" l="1"/>
  <c r="Z19" i="4"/>
  <c r="Q20" i="4"/>
  <c r="S20" i="4" s="1"/>
  <c r="O20" i="4"/>
  <c r="M21" i="4"/>
  <c r="M22" i="4" s="1"/>
  <c r="G22" i="4"/>
  <c r="I22" i="4" s="1"/>
  <c r="E22" i="4"/>
  <c r="C23" i="4"/>
  <c r="Y19" i="4"/>
  <c r="AC18" i="4"/>
  <c r="X19" i="4"/>
  <c r="AB18" i="4"/>
  <c r="AB19" i="4" l="1"/>
  <c r="X20" i="4"/>
  <c r="AC19" i="4"/>
  <c r="Y20" i="4"/>
  <c r="C24" i="4"/>
  <c r="G23" i="4"/>
  <c r="I23" i="4" s="1"/>
  <c r="E23" i="4"/>
  <c r="Q21" i="4"/>
  <c r="S21" i="4" s="1"/>
  <c r="O21" i="4"/>
  <c r="V21" i="4"/>
  <c r="Z20" i="4"/>
  <c r="Y21" i="4" l="1"/>
  <c r="AC20" i="4"/>
  <c r="X21" i="4"/>
  <c r="AB20" i="4"/>
  <c r="Z21" i="4"/>
  <c r="V22" i="4"/>
  <c r="M23" i="4"/>
  <c r="Q22" i="4"/>
  <c r="S22" i="4" s="1"/>
  <c r="O22" i="4"/>
  <c r="E24" i="4"/>
  <c r="C25" i="4"/>
  <c r="G24" i="4"/>
  <c r="I24" i="4" s="1"/>
  <c r="X22" i="4" l="1"/>
  <c r="AB21" i="4"/>
  <c r="G25" i="4"/>
  <c r="I25" i="4" s="1"/>
  <c r="E25" i="4"/>
  <c r="C26" i="4"/>
  <c r="M24" i="4"/>
  <c r="Q23" i="4"/>
  <c r="S23" i="4" s="1"/>
  <c r="O23" i="4"/>
  <c r="Z22" i="4"/>
  <c r="V23" i="4"/>
  <c r="Y22" i="4"/>
  <c r="AC21" i="4"/>
  <c r="V24" i="4" l="1"/>
  <c r="Z24" i="4" s="1"/>
  <c r="Z23" i="4"/>
  <c r="AC22" i="4"/>
  <c r="Y23" i="4"/>
  <c r="M25" i="4"/>
  <c r="Q24" i="4"/>
  <c r="S24" i="4" s="1"/>
  <c r="O24" i="4"/>
  <c r="G26" i="4"/>
  <c r="I26" i="4" s="1"/>
  <c r="E26" i="4"/>
  <c r="C27" i="4"/>
  <c r="AB22" i="4"/>
  <c r="X23" i="4"/>
  <c r="X24" i="4" l="1"/>
  <c r="AB24" i="4" s="1"/>
  <c r="AB23" i="4"/>
  <c r="Y24" i="4"/>
  <c r="AC24" i="4" s="1"/>
  <c r="AC23" i="4"/>
  <c r="C28" i="4"/>
  <c r="G27" i="4"/>
  <c r="I27" i="4" s="1"/>
  <c r="E27" i="4"/>
  <c r="Q25" i="4"/>
  <c r="S25" i="4" s="1"/>
  <c r="O25" i="4"/>
  <c r="M26" i="4"/>
  <c r="Q26" i="4" l="1"/>
  <c r="S26" i="4" s="1"/>
  <c r="O26" i="4"/>
  <c r="M27" i="4"/>
  <c r="E28" i="4"/>
  <c r="C29" i="4"/>
  <c r="G28" i="4"/>
  <c r="I28" i="4" s="1"/>
  <c r="G29" i="4" l="1"/>
  <c r="I29" i="4" s="1"/>
  <c r="E29" i="4"/>
  <c r="C30" i="4"/>
  <c r="Q27" i="4"/>
  <c r="S27" i="4" s="1"/>
  <c r="O27" i="4"/>
  <c r="M28" i="4"/>
  <c r="Q28" i="4" l="1"/>
  <c r="S28" i="4" s="1"/>
  <c r="O28" i="4"/>
  <c r="M29" i="4"/>
  <c r="G30" i="4"/>
  <c r="I30" i="4" s="1"/>
  <c r="E30" i="4"/>
  <c r="C31" i="4"/>
  <c r="C32" i="4" s="1"/>
  <c r="C33" i="4" s="1"/>
  <c r="C34" i="4" s="1"/>
  <c r="C35" i="4" s="1"/>
  <c r="C36" i="4" s="1"/>
  <c r="G36" i="4" l="1"/>
  <c r="I36" i="4" s="1"/>
  <c r="C37" i="4"/>
  <c r="E36" i="4"/>
  <c r="G32" i="4"/>
  <c r="I32" i="4" s="1"/>
  <c r="E32" i="4"/>
  <c r="Q29" i="4"/>
  <c r="S29" i="4" s="1"/>
  <c r="O29" i="4"/>
  <c r="M30" i="4"/>
  <c r="M31" i="4" s="1"/>
  <c r="G31" i="4"/>
  <c r="I31" i="4" s="1"/>
  <c r="E31" i="4"/>
  <c r="E37" i="4" l="1"/>
  <c r="C38" i="4"/>
  <c r="G37" i="4"/>
  <c r="I37" i="4" s="1"/>
  <c r="M32" i="4"/>
  <c r="Q31" i="4"/>
  <c r="S31" i="4" s="1"/>
  <c r="G33" i="4"/>
  <c r="I33" i="4" s="1"/>
  <c r="E33" i="4"/>
  <c r="Q30" i="4"/>
  <c r="S30" i="4" s="1"/>
  <c r="O30" i="4"/>
  <c r="O31" i="4" s="1"/>
  <c r="O32" i="4" s="1"/>
  <c r="O33" i="4" s="1"/>
  <c r="O34" i="4" s="1"/>
  <c r="O35" i="4" s="1"/>
  <c r="O36" i="4" s="1"/>
  <c r="O37" i="4" s="1"/>
  <c r="O38" i="4" s="1"/>
  <c r="O39" i="4" s="1"/>
  <c r="O40" i="4" s="1"/>
  <c r="O41" i="4" s="1"/>
  <c r="O42" i="4" s="1"/>
  <c r="O43" i="4" s="1"/>
  <c r="O44" i="4" s="1"/>
  <c r="O45" i="4" s="1"/>
  <c r="O46" i="4" s="1"/>
  <c r="C39" i="4" l="1"/>
  <c r="G38" i="4"/>
  <c r="I38" i="4" s="1"/>
  <c r="E38" i="4"/>
  <c r="Q32" i="4"/>
  <c r="S32" i="4" s="1"/>
  <c r="M33" i="4"/>
  <c r="E34" i="4"/>
  <c r="G34" i="4"/>
  <c r="I34" i="4" s="1"/>
  <c r="L10" i="1" a="1"/>
  <c r="Q11" i="1" s="1"/>
  <c r="C40" i="4" l="1"/>
  <c r="G39" i="4"/>
  <c r="I39" i="4" s="1"/>
  <c r="E39" i="4"/>
  <c r="Q33" i="4"/>
  <c r="S33" i="4" s="1"/>
  <c r="M34" i="4"/>
  <c r="E35" i="4"/>
  <c r="G35" i="4"/>
  <c r="I35" i="4" s="1"/>
  <c r="O32" i="1"/>
  <c r="Q19" i="1"/>
  <c r="R21" i="1"/>
  <c r="S10" i="1"/>
  <c r="O26" i="1"/>
  <c r="L32" i="1"/>
  <c r="T15" i="1"/>
  <c r="M31" i="1"/>
  <c r="T21" i="1"/>
  <c r="Q31" i="1"/>
  <c r="T27" i="1"/>
  <c r="O29" i="1"/>
  <c r="N11" i="1"/>
  <c r="M33" i="1"/>
  <c r="O28" i="1"/>
  <c r="S18" i="1"/>
  <c r="R33" i="1"/>
  <c r="P19" i="1"/>
  <c r="R23" i="1"/>
  <c r="S14" i="1"/>
  <c r="O11" i="1"/>
  <c r="N10" i="1"/>
  <c r="L21" i="1"/>
  <c r="Q21" i="1"/>
  <c r="T33" i="1"/>
  <c r="S25" i="1"/>
  <c r="N27" i="1"/>
  <c r="M10" i="1"/>
  <c r="N21" i="1"/>
  <c r="N18" i="1"/>
  <c r="T26" i="1"/>
  <c r="R10" i="1"/>
  <c r="L25" i="1"/>
  <c r="L34" i="1"/>
  <c r="T22" i="1"/>
  <c r="R34" i="1"/>
  <c r="M12" i="1"/>
  <c r="P22" i="1"/>
  <c r="P25" i="1"/>
  <c r="N19" i="1"/>
  <c r="M24" i="1"/>
  <c r="R25" i="1"/>
  <c r="L17" i="1"/>
  <c r="O12" i="1"/>
  <c r="R11" i="1"/>
  <c r="S26" i="1"/>
  <c r="L10" i="1"/>
  <c r="R26" i="1"/>
  <c r="M13" i="1"/>
  <c r="R27" i="1"/>
  <c r="L19" i="1"/>
  <c r="L33" i="1"/>
  <c r="M21" i="1"/>
  <c r="S33" i="1"/>
  <c r="O25" i="1"/>
  <c r="R19" i="1"/>
  <c r="S29" i="1"/>
  <c r="O31" i="1"/>
  <c r="P20" i="1"/>
  <c r="P33" i="1"/>
  <c r="N30" i="1"/>
  <c r="L12" i="1"/>
  <c r="M26" i="1"/>
  <c r="O15" i="1"/>
  <c r="P29" i="1"/>
  <c r="L11" i="1"/>
  <c r="R17" i="1"/>
  <c r="T12" i="1"/>
  <c r="L29" i="1"/>
  <c r="O10" i="1"/>
  <c r="N29" i="1"/>
  <c r="O20" i="1"/>
  <c r="R28" i="1"/>
  <c r="S23" i="1"/>
  <c r="P13" i="1"/>
  <c r="S21" i="1"/>
  <c r="S30" i="1"/>
  <c r="Q18" i="1"/>
  <c r="O33" i="1"/>
  <c r="Q10" i="1"/>
  <c r="M30" i="1"/>
  <c r="N26" i="1"/>
  <c r="R32" i="1"/>
  <c r="N17" i="1"/>
  <c r="S31" i="1"/>
  <c r="T10" i="1"/>
  <c r="R30" i="1"/>
  <c r="R13" i="1"/>
  <c r="N22" i="1"/>
  <c r="Q32" i="1"/>
  <c r="O16" i="1"/>
  <c r="S13" i="1"/>
  <c r="L28" i="1"/>
  <c r="O34" i="1"/>
  <c r="M22" i="1"/>
  <c r="P32" i="1"/>
  <c r="N33" i="1"/>
  <c r="N34" i="1"/>
  <c r="Q27" i="1"/>
  <c r="Q14" i="1"/>
  <c r="P30" i="1"/>
  <c r="T13" i="1"/>
  <c r="Q17" i="1"/>
  <c r="N28" i="1"/>
  <c r="M17" i="1"/>
  <c r="S22" i="1"/>
  <c r="N25" i="1"/>
  <c r="Q34" i="1"/>
  <c r="R18" i="1"/>
  <c r="P14" i="1"/>
  <c r="L22" i="1"/>
  <c r="Q25" i="1"/>
  <c r="Q13" i="1"/>
  <c r="P16" i="1"/>
  <c r="T30" i="1"/>
  <c r="M25" i="1"/>
  <c r="N24" i="1"/>
  <c r="P27" i="1"/>
  <c r="P23" i="1"/>
  <c r="O14" i="1"/>
  <c r="L15" i="1"/>
  <c r="P11" i="1"/>
  <c r="S17" i="1"/>
  <c r="L16" i="1"/>
  <c r="S34" i="1"/>
  <c r="O17" i="1"/>
  <c r="Q12" i="1"/>
  <c r="T14" i="1"/>
  <c r="P12" i="1"/>
  <c r="N13" i="1"/>
  <c r="L26" i="1"/>
  <c r="Q22" i="1"/>
  <c r="Q20" i="1"/>
  <c r="N20" i="1"/>
  <c r="L20" i="1"/>
  <c r="O13" i="1"/>
  <c r="S15" i="1"/>
  <c r="M15" i="1"/>
  <c r="T20" i="1"/>
  <c r="T17" i="1"/>
  <c r="R20" i="1"/>
  <c r="N12" i="1"/>
  <c r="Q30" i="1"/>
  <c r="R15" i="1"/>
  <c r="R16" i="1"/>
  <c r="N31" i="1"/>
  <c r="M32" i="1"/>
  <c r="S28" i="1"/>
  <c r="S12" i="1"/>
  <c r="L30" i="1"/>
  <c r="T28" i="1"/>
  <c r="R22" i="1"/>
  <c r="Q24" i="1"/>
  <c r="T29" i="1"/>
  <c r="N14" i="1"/>
  <c r="M11" i="1"/>
  <c r="P15" i="1"/>
  <c r="Q23" i="1"/>
  <c r="L24" i="1"/>
  <c r="T34" i="1"/>
  <c r="O24" i="1"/>
  <c r="N15" i="1"/>
  <c r="S19" i="1"/>
  <c r="S24" i="1"/>
  <c r="M19" i="1"/>
  <c r="T24" i="1"/>
  <c r="M16" i="1"/>
  <c r="M28" i="1"/>
  <c r="L23" i="1"/>
  <c r="S20" i="1"/>
  <c r="N23" i="1"/>
  <c r="L14" i="1"/>
  <c r="P31" i="1"/>
  <c r="S11" i="1"/>
  <c r="Q28" i="1"/>
  <c r="R14" i="1"/>
  <c r="N16" i="1"/>
  <c r="T32" i="1"/>
  <c r="N32" i="1"/>
  <c r="T11" i="1"/>
  <c r="M34" i="1"/>
  <c r="M20" i="1"/>
  <c r="S16" i="1"/>
  <c r="M18" i="1"/>
  <c r="P28" i="1"/>
  <c r="R24" i="1"/>
  <c r="O27" i="1"/>
  <c r="O19" i="1"/>
  <c r="L27" i="1"/>
  <c r="P24" i="1"/>
  <c r="O23" i="1"/>
  <c r="P34" i="1"/>
  <c r="T16" i="1"/>
  <c r="S32" i="1"/>
  <c r="O21" i="1"/>
  <c r="L13" i="1"/>
  <c r="T18" i="1"/>
  <c r="M29" i="1"/>
  <c r="R31" i="1"/>
  <c r="R12" i="1"/>
  <c r="M27" i="1"/>
  <c r="O22" i="1"/>
  <c r="Q15" i="1"/>
  <c r="L18" i="1"/>
  <c r="P26" i="1"/>
  <c r="T25" i="1"/>
  <c r="Q16" i="1"/>
  <c r="O30" i="1"/>
  <c r="P18" i="1"/>
  <c r="O18" i="1"/>
  <c r="Q26" i="1"/>
  <c r="S27" i="1"/>
  <c r="T23" i="1"/>
  <c r="L31" i="1"/>
  <c r="T19" i="1"/>
  <c r="R29" i="1"/>
  <c r="M23" i="1"/>
  <c r="T31" i="1"/>
  <c r="P17" i="1"/>
  <c r="P21" i="1"/>
  <c r="Q33" i="1"/>
  <c r="Q29" i="1"/>
  <c r="P10" i="1"/>
  <c r="M14" i="1"/>
  <c r="Q34" i="4" l="1"/>
  <c r="S34" i="4" s="1"/>
  <c r="M35" i="4"/>
  <c r="C41" i="4"/>
  <c r="E40" i="4"/>
  <c r="G40" i="4"/>
  <c r="I40" i="4" s="1"/>
  <c r="C42" i="4" l="1"/>
  <c r="G41" i="4"/>
  <c r="I41" i="4" s="1"/>
  <c r="E41" i="4"/>
  <c r="M36" i="4"/>
  <c r="Q35" i="4"/>
  <c r="S35" i="4" s="1"/>
  <c r="M37" i="4" l="1"/>
  <c r="Q36" i="4"/>
  <c r="S36" i="4" s="1"/>
  <c r="E42" i="4"/>
  <c r="C43" i="4"/>
  <c r="G42" i="4"/>
  <c r="I42" i="4" s="1"/>
  <c r="C44" i="4" l="1"/>
  <c r="E43" i="4"/>
  <c r="G43" i="4"/>
  <c r="I43" i="4" s="1"/>
  <c r="M38" i="4"/>
  <c r="Q37" i="4"/>
  <c r="S37" i="4" s="1"/>
  <c r="Q38" i="4" l="1"/>
  <c r="S38" i="4" s="1"/>
  <c r="M39" i="4"/>
  <c r="C45" i="4"/>
  <c r="G44" i="4"/>
  <c r="I44" i="4" s="1"/>
  <c r="E44" i="4"/>
  <c r="C46" i="4" l="1"/>
  <c r="E45" i="4"/>
  <c r="G45" i="4"/>
  <c r="I45" i="4" s="1"/>
  <c r="Q39" i="4"/>
  <c r="S39" i="4" s="1"/>
  <c r="M40" i="4"/>
  <c r="Q40" i="4" l="1"/>
  <c r="S40" i="4" s="1"/>
  <c r="M41" i="4"/>
  <c r="C47" i="4"/>
  <c r="E46" i="4"/>
  <c r="G46" i="4"/>
  <c r="I46" i="4" s="1"/>
  <c r="M42" i="4" l="1"/>
  <c r="Q41" i="4"/>
  <c r="S41" i="4" s="1"/>
  <c r="E47" i="4"/>
  <c r="G47" i="4"/>
  <c r="I47" i="4" s="1"/>
  <c r="B10" i="1" s="1" a="1"/>
  <c r="B10" i="1" s="1"/>
  <c r="Q42" i="4" l="1"/>
  <c r="S42" i="4" s="1"/>
  <c r="M43" i="4"/>
  <c r="Q43" i="4" l="1"/>
  <c r="S43" i="4" s="1"/>
  <c r="M44" i="4"/>
  <c r="Q44" i="4" l="1"/>
  <c r="S44" i="4" s="1"/>
  <c r="M45" i="4"/>
  <c r="Q45" i="4" l="1"/>
  <c r="S45" i="4" s="1"/>
  <c r="M46" i="4"/>
  <c r="Q46" i="4" s="1"/>
  <c r="S46" i="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<sst xmlns="http://schemas.openxmlformats.org/spreadsheetml/2006/main" count="123" uniqueCount="47">
  <si>
    <t>INSTRUCTIONS:</t>
  </si>
  <si>
    <t>Ground</t>
  </si>
  <si>
    <t>Extra Boxes</t>
  </si>
  <si>
    <t>3) Re-order lines as below for GB/SB</t>
  </si>
  <si>
    <r>
      <rPr>
        <b/>
        <sz val="11"/>
        <color theme="0"/>
        <rFont val="Calibri"/>
        <family val="2"/>
      </rPr>
      <t>FOR GERMAN BANK</t>
    </r>
    <r>
      <rPr>
        <sz val="11"/>
        <color theme="0"/>
        <rFont val="Calibri"/>
        <family val="2"/>
      </rPr>
      <t>: Since they start West to East, the first line is the last line; for example the first line in an 8 boat survey is #8 in the list, then back to #1.</t>
    </r>
  </si>
  <si>
    <r>
      <rPr>
        <b/>
        <sz val="11"/>
        <color theme="0"/>
        <rFont val="Calibri"/>
        <family val="2"/>
      </rPr>
      <t>FOR SCOTS BAY:</t>
    </r>
    <r>
      <rPr>
        <sz val="11"/>
        <color theme="0"/>
        <rFont val="Calibri"/>
        <family val="2"/>
      </rPr>
      <t xml:space="preserve"> The lines should already be in order of increasing latitude, but boats need to be staggered (Vessel 1 of 6 would be assigned 1+4, not 1+2)</t>
    </r>
  </si>
  <si>
    <t>4) Save: R Plan as "survey plan.csv" and Table as "Table.csv" and place into the proper '/HTML Markdown/Surveys/Year/GG#/' folder</t>
  </si>
  <si>
    <t>Line #</t>
  </si>
  <si>
    <t>TURN POINT</t>
  </si>
  <si>
    <t>START POINT</t>
  </si>
  <si>
    <t>Vessel</t>
  </si>
  <si>
    <t>Start Lat</t>
  </si>
  <si>
    <t>Start Lon</t>
  </si>
  <si>
    <t>End Lat</t>
  </si>
  <si>
    <t>End Lon</t>
  </si>
  <si>
    <t>GERMAN BANK</t>
  </si>
  <si>
    <t>SEAL ISLAND</t>
  </si>
  <si>
    <t>SCOTS BAY</t>
  </si>
  <si>
    <t>EAST BOX</t>
  </si>
  <si>
    <t>TOP (START)</t>
  </si>
  <si>
    <t>TOP (END)</t>
  </si>
  <si>
    <t>TOP</t>
  </si>
  <si>
    <t>INSIDE EDGE</t>
  </si>
  <si>
    <t>BOATS</t>
  </si>
  <si>
    <t>LINES</t>
  </si>
  <si>
    <t>SPACING</t>
  </si>
  <si>
    <t>Converted</t>
  </si>
  <si>
    <t>LINE #</t>
  </si>
  <si>
    <t>BOTTOM</t>
  </si>
  <si>
    <t>NORTH BOX</t>
  </si>
  <si>
    <t>OUTSIDE EDGE</t>
  </si>
  <si>
    <t>BOTTOM (START)</t>
  </si>
  <si>
    <t>BOTTOM (END)</t>
  </si>
  <si>
    <t>Main Box</t>
  </si>
  <si>
    <t>1) Use the "Main Box", "Ground", and "Extra Boxes" drop downs to select the proper configuration for the survey.</t>
  </si>
  <si>
    <t>Converted Format for "survey plan" Sheet</t>
  </si>
  <si>
    <t>for 'Table' sheet</t>
  </si>
  <si>
    <t>2) Copy standard/leftside format for "Table" sheet (BLUE), use Converted/rightside format for "survey plan" sheet (GREEN)</t>
  </si>
  <si>
    <t>Both</t>
  </si>
  <si>
    <t>V1</t>
  </si>
  <si>
    <t>V2</t>
  </si>
  <si>
    <t>V3</t>
  </si>
  <si>
    <t>V4</t>
  </si>
  <si>
    <t>V5</t>
  </si>
  <si>
    <t>V6</t>
  </si>
  <si>
    <t>German Bank</t>
  </si>
  <si>
    <t>V7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</si>
</sst>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FFFF00"/>
        <bgColor rgb="FFFFFF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theme="1"/>
      </patternFill>
    </fill>
    <fill>
      <patternFill patternType="solid">
        <fgColor theme="9" tint="0.79998168889431442"/>
        <bgColor theme="1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7" fillId="0" borderId="0" xfId="0" applyFont="1"/>
    <xf numFmtId="0" fontId="8" fillId="0" borderId="0" xfId="0" applyFont="1" applyAlignment="1">
      <alignment horizontal="left"/>
    </xf>
    <xf numFmtId="0" fontId="9" fillId="2" borderId="1" xfId="0" applyFont="1" applyFill="1" applyBorder="1"/>
    <xf numFmtId="0" fontId="8" fillId="2" borderId="1" xfId="0" applyFont="1" applyFill="1" applyBorder="1"/>
    <xf numFmtId="0" fontId="8" fillId="0" borderId="0" xfId="0" applyFont="1"/>
    <xf numFmtId="0" fontId="10" fillId="0" borderId="0" xfId="0" applyFont="1"/>
    <xf numFmtId="0" fontId="11" fillId="2" borderId="1" xfId="0" applyFont="1" applyFill="1" applyBorder="1"/>
    <xf numFmtId="0" fontId="8" fillId="3" borderId="1" xfId="0" applyFont="1" applyFill="1" applyBorder="1"/>
    <xf numFmtId="0" fontId="6" fillId="0" borderId="0" xfId="0" applyFont="1"/>
    <xf numFmtId="0" fontId="7" fillId="4" borderId="0" xfId="0" applyFont="1" applyFill="1"/>
    <xf numFmtId="0" fontId="0" fillId="4" borderId="0" xfId="0" applyFill="1"/>
    <xf numFmtId="0" fontId="10" fillId="4" borderId="0" xfId="0" applyFont="1" applyFill="1"/>
    <xf numFmtId="0" fontId="7" fillId="5" borderId="0" xfId="0" applyFont="1" applyFill="1"/>
    <xf numFmtId="0" fontId="12" fillId="5" borderId="0" xfId="0" applyFont="1" applyFill="1"/>
    <xf numFmtId="0" fontId="0" fillId="5" borderId="0" xfId="0" applyFill="1"/>
    <xf numFmtId="0" fontId="10" fillId="5" borderId="0" xfId="0" applyFont="1" applyFill="1"/>
    <xf numFmtId="0" fontId="13" fillId="6" borderId="1" xfId="0" applyFont="1" applyFill="1" applyBorder="1"/>
    <xf numFmtId="0" fontId="13" fillId="7" borderId="1" xfId="0" applyFont="1" applyFill="1" applyBorder="1"/>
    <xf numFmtId="0" fontId="5" fillId="0" borderId="0" xfId="0" applyFont="1"/>
    <xf numFmtId="0" fontId="4" fillId="0" borderId="0" xfId="0" applyFont="1"/>
    <xf numFmtId="0" fontId="3" fillId="0" borderId="0" xfId="0" applyFon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NUL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0"/>
  <sheetViews>
    <sheetView tabSelected="1" workbookViewId="0">
      <selection activeCell="P24" sqref="P11:S24"/>
    </sheetView>
  </sheetViews>
  <sheetFormatPr defaultColWidth="14.453125" defaultRowHeight="15" customHeight="1" x14ac:dyDescent="0.35"/>
  <cols>
    <col min="1" max="1" width="11.1796875" customWidth="1"/>
    <col min="2" max="2" width="20.6328125" customWidth="1"/>
    <col min="3" max="4" width="8.7265625" customWidth="1"/>
    <col min="5" max="11" width="11.81640625" customWidth="1"/>
    <col min="12" max="12" width="11.453125" bestFit="1" customWidth="1"/>
    <col min="13" max="13" width="12.453125" customWidth="1"/>
    <col min="14" max="14" width="8.7265625" customWidth="1"/>
    <col min="15" max="15" width="13.54296875" customWidth="1"/>
    <col min="16" max="17" width="8.7265625" customWidth="1"/>
    <col min="18" max="18" width="9.81640625" customWidth="1"/>
    <col min="19" max="19" width="12.453125" customWidth="1"/>
    <col min="20" max="20" width="8.7265625" customWidth="1"/>
    <col min="21" max="21" width="12" customWidth="1"/>
    <col min="22" max="26" width="8.7265625" customWidth="1"/>
  </cols>
  <sheetData>
    <row r="1" spans="1:21" ht="14.5" x14ac:dyDescent="0.35">
      <c r="A1" s="1" t="s">
        <v>33</v>
      </c>
      <c r="B1" s="2">
        <v>14</v>
      </c>
      <c r="D1" s="3" t="s">
        <v>0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/>
      <c r="Q1" s="5"/>
      <c r="R1" s="5"/>
      <c r="S1" s="5"/>
      <c r="T1" s="5"/>
      <c r="U1" s="5"/>
    </row>
    <row r="2" spans="1:21" ht="14.5" x14ac:dyDescent="0.35">
      <c r="A2" s="1" t="s">
        <v>1</v>
      </c>
      <c r="B2" s="23" t="s">
        <v>45</v>
      </c>
      <c r="D2" s="7" t="s">
        <v>34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  <c r="Q2" s="5"/>
      <c r="R2" s="5"/>
      <c r="S2" s="5"/>
      <c r="T2" s="5"/>
      <c r="U2" s="5"/>
    </row>
    <row r="3" spans="1:21" ht="14.5" x14ac:dyDescent="0.35">
      <c r="A3" s="1" t="s">
        <v>2</v>
      </c>
      <c r="B3" s="6" t="s">
        <v>38</v>
      </c>
      <c r="D3" s="17" t="s">
        <v>37</v>
      </c>
      <c r="E3" s="17"/>
      <c r="F3" s="17"/>
      <c r="G3" s="17"/>
      <c r="H3" s="17"/>
      <c r="I3" s="18"/>
      <c r="J3" s="18"/>
      <c r="K3" s="18"/>
      <c r="L3" s="18"/>
      <c r="M3" s="18"/>
      <c r="N3" s="18"/>
      <c r="O3" s="18"/>
      <c r="P3" s="5"/>
      <c r="Q3" s="5"/>
      <c r="R3" s="5"/>
      <c r="S3" s="5"/>
      <c r="T3" s="5"/>
      <c r="U3" s="5"/>
    </row>
    <row r="4" spans="1:21" ht="14.5" x14ac:dyDescent="0.35">
      <c r="A4" s="1"/>
      <c r="D4" s="7" t="s">
        <v>3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5"/>
      <c r="Q4" s="5"/>
      <c r="R4" s="5"/>
      <c r="S4" s="5"/>
      <c r="T4" s="5"/>
      <c r="U4" s="5"/>
    </row>
    <row r="5" spans="1:21" ht="14.5" x14ac:dyDescent="0.35">
      <c r="A5" s="1"/>
      <c r="D5" s="7" t="s">
        <v>4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  <c r="Q5" s="5"/>
      <c r="R5" s="5"/>
      <c r="S5" s="5"/>
      <c r="T5" s="5"/>
      <c r="U5" s="5"/>
    </row>
    <row r="6" spans="1:21" ht="14.5" x14ac:dyDescent="0.35">
      <c r="A6" s="1"/>
      <c r="D6" s="7" t="s">
        <v>5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5"/>
      <c r="Q6" s="5"/>
      <c r="R6" s="5"/>
      <c r="S6" s="5"/>
      <c r="T6" s="5"/>
      <c r="U6" s="5"/>
    </row>
    <row r="7" spans="1:21" ht="14.5" x14ac:dyDescent="0.35">
      <c r="A7" s="1"/>
      <c r="D7" s="7" t="s">
        <v>6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5"/>
      <c r="Q7" s="5"/>
      <c r="R7" s="5"/>
      <c r="S7" s="5"/>
      <c r="T7" s="5"/>
      <c r="U7" s="5"/>
    </row>
    <row r="8" spans="1:21" ht="14.5" x14ac:dyDescent="0.35">
      <c r="A8" s="1"/>
      <c r="P8" s="5"/>
      <c r="Q8" s="5"/>
      <c r="R8" s="5"/>
      <c r="S8" s="5"/>
      <c r="T8" s="5"/>
      <c r="U8" s="5"/>
    </row>
    <row r="9" spans="1:21" ht="14.5" x14ac:dyDescent="0.35">
      <c r="A9" s="1" t="s">
        <v>7</v>
      </c>
      <c r="B9" s="13" t="str">
        <f>IF(B2="German Bank", "German Bank Box", IF(B2="Scots Bay", "Main Survey Box",""))</f>
        <v>German Bank Box</v>
      </c>
      <c r="C9" s="14" t="s">
        <v>36</v>
      </c>
      <c r="D9" s="15"/>
      <c r="E9" s="15"/>
      <c r="F9" s="10" t="s">
        <v>35</v>
      </c>
      <c r="G9" s="11"/>
      <c r="H9" s="11"/>
      <c r="I9" s="11"/>
      <c r="L9" s="1" t="str">
        <f>IF(B2="German Bank", "Seal Island Box", IF(B3="North", "North Box", IF(B3="East", "East Box", IF(B3="Both", "East Box",""))))</f>
        <v>Seal Island Box</v>
      </c>
      <c r="M9" s="14" t="s">
        <v>36</v>
      </c>
      <c r="N9" s="15"/>
      <c r="O9" s="15"/>
      <c r="P9" s="1" t="str">
        <f>IF(B2="German Bank", "Converted Format for 'survey plan' Sheet", IF(B3&lt;&gt;"None", "Converted Format for 'survey plan' Sheet", ""))</f>
        <v>Converted Format for 'survey plan' Sheet</v>
      </c>
      <c r="Q9" s="11"/>
      <c r="R9" s="11"/>
      <c r="S9" s="11"/>
      <c r="T9" s="11"/>
    </row>
    <row r="10" spans="1:21" ht="14.5" x14ac:dyDescent="0.35">
      <c r="B10" s="16" t="str" cm="1">
        <f t="array" ref="B10:I50">IF(B2="Scots Bay",'Back End'!V6:AC24, IF(B2="German Bank",'Back End'!B7:I47,""))</f>
        <v>START POINT</v>
      </c>
      <c r="C10" s="16">
        <v>0</v>
      </c>
      <c r="D10" s="16" t="str">
        <v>TURN POINT</v>
      </c>
      <c r="E10" s="16">
        <v>0</v>
      </c>
      <c r="F10" s="12" t="str">
        <v>START POINT</v>
      </c>
      <c r="G10" s="12">
        <v>0</v>
      </c>
      <c r="H10" s="12" t="str">
        <v>TURN POINT</v>
      </c>
      <c r="I10" s="12">
        <v>0</v>
      </c>
      <c r="L10" s="16" t="str">
        <f t="array" ref="L10:T34">IF(B2="German Bank",'Back End'!L6:S30, IF(B3="North", 'Back End'!AF18:AM22, IF(B3="East", 'Back End'!AF6:AM10,IF(B3="Both", 'Back End'!AE6:AM22,""))))</f>
        <v>START POINT</v>
      </c>
      <c r="M10" s="16">
        <v>0</v>
      </c>
      <c r="N10" s="16" t="str">
        <v>TURN POINT</v>
      </c>
      <c r="O10" s="16">
        <v>0</v>
      </c>
      <c r="P10" s="12" t="str">
        <v>START POINT</v>
      </c>
      <c r="Q10" s="12">
        <v>0</v>
      </c>
      <c r="R10" s="12" t="str">
        <v>TURN POINT</v>
      </c>
      <c r="S10" s="12">
        <v>0</v>
      </c>
      <c r="T10" s="11" t="e">
        <v>#N/A</v>
      </c>
    </row>
    <row r="11" spans="1:21" ht="14.5" x14ac:dyDescent="0.35">
      <c r="A11" s="6">
        <v>1</v>
      </c>
      <c r="B11" s="16">
        <v>4334</v>
      </c>
      <c r="C11" s="16">
        <v>6607.5</v>
      </c>
      <c r="D11" s="16">
        <v>4314</v>
      </c>
      <c r="E11" s="16">
        <v>6607.5</v>
      </c>
      <c r="F11" s="12">
        <v>43.56666666666667</v>
      </c>
      <c r="G11" s="12">
        <v>-66.125</v>
      </c>
      <c r="H11" s="12">
        <v>43.233333333333334</v>
      </c>
      <c r="I11" s="12">
        <v>-66.125</v>
      </c>
      <c r="L11" s="16">
        <v>4330.12</v>
      </c>
      <c r="M11" s="16">
        <v>6607.5</v>
      </c>
      <c r="N11" s="16">
        <v>4314.8500000000004</v>
      </c>
      <c r="O11" s="16">
        <v>6607.5</v>
      </c>
      <c r="P11" s="12">
        <v>43.502000000000002</v>
      </c>
      <c r="Q11" s="12">
        <v>-66.125</v>
      </c>
      <c r="R11" s="12">
        <v>43.247500000000002</v>
      </c>
      <c r="S11" s="12">
        <v>-66.125</v>
      </c>
      <c r="T11" s="11" t="e">
        <v>#N/A</v>
      </c>
    </row>
    <row r="12" spans="1:21" ht="14.5" x14ac:dyDescent="0.35">
      <c r="A12" s="6">
        <v>2</v>
      </c>
      <c r="B12" s="16">
        <v>4334</v>
      </c>
      <c r="C12" s="16">
        <v>6608.3185185185184</v>
      </c>
      <c r="D12" s="16">
        <v>4314</v>
      </c>
      <c r="E12" s="16">
        <v>6608.3185185185184</v>
      </c>
      <c r="F12" s="12">
        <v>43.56666666666667</v>
      </c>
      <c r="G12" s="12">
        <v>-66.138641975308673</v>
      </c>
      <c r="H12" s="12">
        <v>43.233333333333334</v>
      </c>
      <c r="I12" s="12">
        <v>-66.138641975308673</v>
      </c>
      <c r="L12" s="16">
        <v>4330.12</v>
      </c>
      <c r="M12" s="16">
        <v>6607.9846153846156</v>
      </c>
      <c r="N12" s="16">
        <v>4314.8500000000004</v>
      </c>
      <c r="O12" s="16">
        <v>6607.9846153846156</v>
      </c>
      <c r="P12" s="12">
        <v>43.502000000000002</v>
      </c>
      <c r="Q12" s="12">
        <v>-66.133076923076999</v>
      </c>
      <c r="R12" s="12">
        <v>43.247500000000002</v>
      </c>
      <c r="S12" s="12">
        <v>-66.133076923076999</v>
      </c>
      <c r="T12" s="11" t="e">
        <v>#N/A</v>
      </c>
    </row>
    <row r="13" spans="1:21" ht="14.5" x14ac:dyDescent="0.35">
      <c r="A13" s="6">
        <v>3</v>
      </c>
      <c r="B13" s="16">
        <v>4334</v>
      </c>
      <c r="C13" s="16">
        <v>6609.1370370370369</v>
      </c>
      <c r="D13" s="16">
        <v>4314</v>
      </c>
      <c r="E13" s="16">
        <v>6609.1370370370369</v>
      </c>
      <c r="F13" s="12">
        <v>43.56666666666667</v>
      </c>
      <c r="G13" s="12">
        <v>-66.152283950617331</v>
      </c>
      <c r="H13" s="12">
        <v>43.233333333333334</v>
      </c>
      <c r="I13" s="12">
        <v>-66.152283950617331</v>
      </c>
      <c r="L13" s="16">
        <v>4330.12</v>
      </c>
      <c r="M13" s="16">
        <v>6608.4692307692312</v>
      </c>
      <c r="N13" s="16">
        <v>4314.8500000000004</v>
      </c>
      <c r="O13" s="16">
        <v>6608.4692307692312</v>
      </c>
      <c r="P13" s="12">
        <v>43.502000000000002</v>
      </c>
      <c r="Q13" s="12">
        <v>-66.141153846153827</v>
      </c>
      <c r="R13" s="12">
        <v>43.247500000000002</v>
      </c>
      <c r="S13" s="12">
        <v>-66.141153846153827</v>
      </c>
      <c r="T13" s="11" t="e">
        <v>#N/A</v>
      </c>
    </row>
    <row r="14" spans="1:21" ht="14.5" x14ac:dyDescent="0.35">
      <c r="A14" s="6">
        <v>4</v>
      </c>
      <c r="B14" s="16">
        <v>4334</v>
      </c>
      <c r="C14" s="16">
        <v>6609.9555555555553</v>
      </c>
      <c r="D14" s="16">
        <v>4314</v>
      </c>
      <c r="E14" s="16">
        <v>6609.9555555555553</v>
      </c>
      <c r="F14" s="12">
        <v>43.56666666666667</v>
      </c>
      <c r="G14" s="12">
        <v>-66.165925925926004</v>
      </c>
      <c r="H14" s="12">
        <v>43.233333333333334</v>
      </c>
      <c r="I14" s="12">
        <v>-66.165925925926004</v>
      </c>
      <c r="L14" s="16">
        <v>4330.12</v>
      </c>
      <c r="M14" s="16">
        <v>6608.9538461538468</v>
      </c>
      <c r="N14" s="16">
        <v>4314.8500000000004</v>
      </c>
      <c r="O14" s="16">
        <v>6608.9538461538468</v>
      </c>
      <c r="P14" s="12">
        <v>43.502000000000002</v>
      </c>
      <c r="Q14" s="12">
        <v>-66.14923076923084</v>
      </c>
      <c r="R14" s="12">
        <v>43.247500000000002</v>
      </c>
      <c r="S14" s="12">
        <v>-66.14923076923084</v>
      </c>
      <c r="T14" s="11" t="e">
        <v>#N/A</v>
      </c>
    </row>
    <row r="15" spans="1:21" ht="14.5" x14ac:dyDescent="0.35">
      <c r="A15" s="6">
        <v>5</v>
      </c>
      <c r="B15" s="16">
        <v>4334</v>
      </c>
      <c r="C15" s="16">
        <v>6610.7740740740737</v>
      </c>
      <c r="D15" s="16">
        <v>4314</v>
      </c>
      <c r="E15" s="16">
        <v>6610.7740740740737</v>
      </c>
      <c r="F15" s="12">
        <v>43.56666666666667</v>
      </c>
      <c r="G15" s="12">
        <v>-66.179567901234506</v>
      </c>
      <c r="H15" s="12">
        <v>43.233333333333334</v>
      </c>
      <c r="I15" s="12">
        <v>-66.179567901234506</v>
      </c>
      <c r="L15" s="16">
        <v>4330.12</v>
      </c>
      <c r="M15" s="16">
        <v>6609.4384615384624</v>
      </c>
      <c r="N15" s="16">
        <v>4314.8500000000004</v>
      </c>
      <c r="O15" s="16">
        <v>6609.4384615384624</v>
      </c>
      <c r="P15" s="12">
        <v>43.502000000000002</v>
      </c>
      <c r="Q15" s="12">
        <v>-66.157307692307668</v>
      </c>
      <c r="R15" s="12">
        <v>43.247500000000002</v>
      </c>
      <c r="S15" s="12">
        <v>-66.157307692307668</v>
      </c>
      <c r="T15" s="11" t="e">
        <v>#N/A</v>
      </c>
    </row>
    <row r="16" spans="1:21" ht="14.5" x14ac:dyDescent="0.35">
      <c r="A16" s="6">
        <v>6</v>
      </c>
      <c r="B16" s="16">
        <v>4334</v>
      </c>
      <c r="C16" s="16">
        <v>6611.5925925925922</v>
      </c>
      <c r="D16" s="16">
        <v>4314</v>
      </c>
      <c r="E16" s="16">
        <v>6611.5925925925922</v>
      </c>
      <c r="F16" s="12">
        <v>43.56666666666667</v>
      </c>
      <c r="G16" s="12">
        <v>-66.193209876543165</v>
      </c>
      <c r="H16" s="12">
        <v>43.233333333333334</v>
      </c>
      <c r="I16" s="12">
        <v>-66.193209876543165</v>
      </c>
      <c r="L16" s="16">
        <v>4330.12</v>
      </c>
      <c r="M16" s="16">
        <v>6609.923076923078</v>
      </c>
      <c r="N16" s="16">
        <v>4314.8500000000004</v>
      </c>
      <c r="O16" s="16">
        <v>6609.923076923078</v>
      </c>
      <c r="P16" s="12">
        <v>43.502000000000002</v>
      </c>
      <c r="Q16" s="12">
        <v>-66.165384615384667</v>
      </c>
      <c r="R16" s="12">
        <v>43.247500000000002</v>
      </c>
      <c r="S16" s="12">
        <v>-66.165384615384667</v>
      </c>
      <c r="T16" s="11" t="e">
        <v>#N/A</v>
      </c>
    </row>
    <row r="17" spans="1:20" ht="14.5" x14ac:dyDescent="0.35">
      <c r="A17" s="6">
        <v>7</v>
      </c>
      <c r="B17" s="16">
        <v>4334</v>
      </c>
      <c r="C17" s="16">
        <v>6612.4111111111106</v>
      </c>
      <c r="D17" s="16">
        <v>4314</v>
      </c>
      <c r="E17" s="16">
        <v>6612.4111111111106</v>
      </c>
      <c r="F17" s="12">
        <v>43.56666666666667</v>
      </c>
      <c r="G17" s="12">
        <v>-66.206851851851837</v>
      </c>
      <c r="H17" s="12">
        <v>43.233333333333334</v>
      </c>
      <c r="I17" s="12">
        <v>-66.206851851851837</v>
      </c>
      <c r="K17" s="1"/>
      <c r="L17" s="16">
        <v>4330.12</v>
      </c>
      <c r="M17" s="16">
        <v>6610.4076923076937</v>
      </c>
      <c r="N17" s="16">
        <v>4314.8500000000004</v>
      </c>
      <c r="O17" s="16">
        <v>6610.4076923076937</v>
      </c>
      <c r="P17" s="12">
        <v>43.502000000000002</v>
      </c>
      <c r="Q17" s="12">
        <v>-66.173461538461495</v>
      </c>
      <c r="R17" s="12">
        <v>43.247500000000002</v>
      </c>
      <c r="S17" s="12">
        <v>-66.173461538461495</v>
      </c>
      <c r="T17" s="11" t="e">
        <v>#N/A</v>
      </c>
    </row>
    <row r="18" spans="1:20" ht="14.5" x14ac:dyDescent="0.35">
      <c r="A18" s="6">
        <v>8</v>
      </c>
      <c r="B18" s="16">
        <v>4334</v>
      </c>
      <c r="C18" s="16">
        <v>6613.229629629629</v>
      </c>
      <c r="D18" s="16">
        <v>4314</v>
      </c>
      <c r="E18" s="16">
        <v>6613.229629629629</v>
      </c>
      <c r="F18" s="12">
        <v>43.56666666666667</v>
      </c>
      <c r="G18" s="12">
        <v>-66.220493827160496</v>
      </c>
      <c r="H18" s="12">
        <v>43.233333333333334</v>
      </c>
      <c r="I18" s="12">
        <v>-66.220493827160496</v>
      </c>
      <c r="K18" s="6"/>
      <c r="L18" s="16">
        <v>4330.12</v>
      </c>
      <c r="M18" s="16">
        <v>6610.8923076923093</v>
      </c>
      <c r="N18" s="16">
        <v>4314.8500000000004</v>
      </c>
      <c r="O18" s="16">
        <v>6610.8923076923093</v>
      </c>
      <c r="P18" s="12">
        <v>43.502000000000002</v>
      </c>
      <c r="Q18" s="12">
        <v>-66.181538461538494</v>
      </c>
      <c r="R18" s="12">
        <v>43.247500000000002</v>
      </c>
      <c r="S18" s="12">
        <v>-66.181538461538494</v>
      </c>
      <c r="T18" s="11" t="e">
        <v>#N/A</v>
      </c>
    </row>
    <row r="19" spans="1:20" ht="14.5" x14ac:dyDescent="0.35">
      <c r="A19" s="6">
        <v>9</v>
      </c>
      <c r="B19" s="16">
        <v>4334</v>
      </c>
      <c r="C19" s="16">
        <v>6614.0481481481474</v>
      </c>
      <c r="D19" s="16">
        <v>4314</v>
      </c>
      <c r="E19" s="16">
        <v>6614.0481481481474</v>
      </c>
      <c r="F19" s="12">
        <v>43.56666666666667</v>
      </c>
      <c r="G19" s="12">
        <v>-66.234135802469169</v>
      </c>
      <c r="H19" s="12">
        <v>43.233333333333334</v>
      </c>
      <c r="I19" s="12">
        <v>-66.234135802469169</v>
      </c>
      <c r="L19" s="16">
        <v>4330.12</v>
      </c>
      <c r="M19" s="16">
        <v>6611.3769230769249</v>
      </c>
      <c r="N19" s="16">
        <v>4314.8500000000004</v>
      </c>
      <c r="O19" s="16">
        <v>6611.3769230769249</v>
      </c>
      <c r="P19" s="12">
        <v>43.502000000000002</v>
      </c>
      <c r="Q19" s="12">
        <v>-66.189615384615337</v>
      </c>
      <c r="R19" s="12">
        <v>43.247500000000002</v>
      </c>
      <c r="S19" s="12">
        <v>-66.189615384615337</v>
      </c>
      <c r="T19" s="11" t="e">
        <v>#N/A</v>
      </c>
    </row>
    <row r="20" spans="1:20" ht="14.5" x14ac:dyDescent="0.35">
      <c r="A20" s="6">
        <v>10</v>
      </c>
      <c r="B20" s="16">
        <v>4334</v>
      </c>
      <c r="C20" s="16">
        <v>6614.8666666666659</v>
      </c>
      <c r="D20" s="16">
        <v>4314</v>
      </c>
      <c r="E20" s="16">
        <v>6614.8666666666659</v>
      </c>
      <c r="F20" s="12">
        <v>43.56666666666667</v>
      </c>
      <c r="G20" s="12">
        <v>-66.247777777777827</v>
      </c>
      <c r="H20" s="12">
        <v>43.233333333333334</v>
      </c>
      <c r="I20" s="12">
        <v>-66.247777777777827</v>
      </c>
      <c r="L20" s="16">
        <v>4330.12</v>
      </c>
      <c r="M20" s="16">
        <v>6611.8615384615405</v>
      </c>
      <c r="N20" s="16">
        <v>4314.8500000000004</v>
      </c>
      <c r="O20" s="16">
        <v>6611.8615384615405</v>
      </c>
      <c r="P20" s="12">
        <v>43.502000000000002</v>
      </c>
      <c r="Q20" s="12">
        <v>-66.197692307692336</v>
      </c>
      <c r="R20" s="12">
        <v>43.247500000000002</v>
      </c>
      <c r="S20" s="12">
        <v>-66.197692307692336</v>
      </c>
      <c r="T20" s="11" t="e">
        <v>#N/A</v>
      </c>
    </row>
    <row r="21" spans="1:20" ht="15.75" customHeight="1" x14ac:dyDescent="0.35">
      <c r="A21" s="6">
        <v>11</v>
      </c>
      <c r="B21" s="16">
        <v>4334</v>
      </c>
      <c r="C21" s="16">
        <v>6615.6851851851843</v>
      </c>
      <c r="D21" s="16">
        <v>4314</v>
      </c>
      <c r="E21" s="16">
        <v>6615.6851851851843</v>
      </c>
      <c r="F21" s="12">
        <v>43.56666666666667</v>
      </c>
      <c r="G21" s="12">
        <v>-66.261419753086329</v>
      </c>
      <c r="H21" s="12">
        <v>43.233333333333334</v>
      </c>
      <c r="I21" s="12">
        <v>-66.261419753086329</v>
      </c>
      <c r="L21" s="16">
        <v>4330.12</v>
      </c>
      <c r="M21" s="16">
        <v>6612.3461538461561</v>
      </c>
      <c r="N21" s="16">
        <v>4314.8500000000004</v>
      </c>
      <c r="O21" s="16">
        <v>6612.3461538461561</v>
      </c>
      <c r="P21" s="12">
        <v>43.502000000000002</v>
      </c>
      <c r="Q21" s="12">
        <v>-66.205769230769334</v>
      </c>
      <c r="R21" s="12">
        <v>43.247500000000002</v>
      </c>
      <c r="S21" s="12">
        <v>-66.205769230769334</v>
      </c>
      <c r="T21" s="11" t="e">
        <v>#N/A</v>
      </c>
    </row>
    <row r="22" spans="1:20" ht="15.75" customHeight="1" x14ac:dyDescent="0.35">
      <c r="A22" s="6">
        <v>12</v>
      </c>
      <c r="B22" s="16">
        <v>4334</v>
      </c>
      <c r="C22" s="16">
        <v>6616.5037037037027</v>
      </c>
      <c r="D22" s="16">
        <v>4314</v>
      </c>
      <c r="E22" s="16">
        <v>6616.5037037037027</v>
      </c>
      <c r="F22" s="12">
        <v>43.56666666666667</v>
      </c>
      <c r="G22" s="12">
        <v>-66.275061728395002</v>
      </c>
      <c r="H22" s="12">
        <v>43.233333333333334</v>
      </c>
      <c r="I22" s="12">
        <v>-66.275061728395002</v>
      </c>
      <c r="L22" s="16">
        <v>4330.12</v>
      </c>
      <c r="M22" s="16">
        <v>6612.8307692307717</v>
      </c>
      <c r="N22" s="16">
        <v>4314.8500000000004</v>
      </c>
      <c r="O22" s="16">
        <v>6612.8307692307717</v>
      </c>
      <c r="P22" s="12">
        <v>43.502000000000002</v>
      </c>
      <c r="Q22" s="12">
        <v>-66.213846153846163</v>
      </c>
      <c r="R22" s="12">
        <v>43.247500000000002</v>
      </c>
      <c r="S22" s="12">
        <v>-66.213846153846163</v>
      </c>
      <c r="T22" s="11" t="e">
        <v>#N/A</v>
      </c>
    </row>
    <row r="23" spans="1:20" ht="15.75" customHeight="1" x14ac:dyDescent="0.35">
      <c r="A23" s="6">
        <v>13</v>
      </c>
      <c r="B23" s="16">
        <v>4334</v>
      </c>
      <c r="C23" s="16">
        <v>6617.3222222222212</v>
      </c>
      <c r="D23" s="16">
        <v>4314</v>
      </c>
      <c r="E23" s="16">
        <v>6617.3222222222212</v>
      </c>
      <c r="F23" s="12">
        <v>43.56666666666667</v>
      </c>
      <c r="G23" s="12">
        <v>-66.288703703703661</v>
      </c>
      <c r="H23" s="12">
        <v>43.233333333333334</v>
      </c>
      <c r="I23" s="12">
        <v>-66.288703703703661</v>
      </c>
      <c r="L23" s="16">
        <v>4330.12</v>
      </c>
      <c r="M23" s="16">
        <v>6613.3153846153873</v>
      </c>
      <c r="N23" s="16">
        <v>4314.8500000000004</v>
      </c>
      <c r="O23" s="16">
        <v>6613.3153846153873</v>
      </c>
      <c r="P23" s="12">
        <v>43.502000000000002</v>
      </c>
      <c r="Q23" s="12">
        <v>-66.221923076923161</v>
      </c>
      <c r="R23" s="12">
        <v>43.247500000000002</v>
      </c>
      <c r="S23" s="12">
        <v>-66.221923076923161</v>
      </c>
      <c r="T23" s="11" t="e">
        <v>#N/A</v>
      </c>
    </row>
    <row r="24" spans="1:20" ht="15.75" customHeight="1" x14ac:dyDescent="0.35">
      <c r="A24" s="6">
        <v>14</v>
      </c>
      <c r="B24" s="16">
        <v>4334</v>
      </c>
      <c r="C24" s="16">
        <v>6618.1407407407396</v>
      </c>
      <c r="D24" s="16">
        <v>4314</v>
      </c>
      <c r="E24" s="16">
        <v>6618.1407407407396</v>
      </c>
      <c r="F24" s="12">
        <v>43.56666666666667</v>
      </c>
      <c r="G24" s="12">
        <v>-66.302345679012333</v>
      </c>
      <c r="H24" s="12">
        <v>43.233333333333334</v>
      </c>
      <c r="I24" s="12">
        <v>-66.302345679012333</v>
      </c>
      <c r="L24" s="16">
        <v>4330.12</v>
      </c>
      <c r="M24" s="16">
        <v>6613.8000000000029</v>
      </c>
      <c r="N24" s="16">
        <v>4314.8500000000004</v>
      </c>
      <c r="O24" s="16">
        <v>6613.8000000000029</v>
      </c>
      <c r="P24" s="12">
        <v>43.502000000000002</v>
      </c>
      <c r="Q24" s="12">
        <v>-66.23</v>
      </c>
      <c r="R24" s="12">
        <v>43.247500000000002</v>
      </c>
      <c r="S24" s="12">
        <v>-66.23</v>
      </c>
      <c r="T24" s="11" t="e">
        <v>#N/A</v>
      </c>
    </row>
    <row r="25" spans="1:20" ht="15.75" customHeight="1" x14ac:dyDescent="0.35">
      <c r="A25" s="6">
        <v>15</v>
      </c>
      <c r="B25" s="16">
        <v>4334</v>
      </c>
      <c r="C25" s="16">
        <v>6618.959259259258</v>
      </c>
      <c r="D25" s="16">
        <v>4314</v>
      </c>
      <c r="E25" s="16">
        <v>6618.959259259258</v>
      </c>
      <c r="F25" s="12">
        <v>43.56666666666667</v>
      </c>
      <c r="G25" s="12">
        <v>-66.315987654321006</v>
      </c>
      <c r="H25" s="12">
        <v>43.233333333333334</v>
      </c>
      <c r="I25" s="12">
        <v>-66.315987654321006</v>
      </c>
      <c r="L25" s="16">
        <v>4330.12</v>
      </c>
      <c r="M25" s="16">
        <v>6614.2846153846185</v>
      </c>
      <c r="N25" s="16">
        <v>4314.8500000000004</v>
      </c>
      <c r="O25" s="16">
        <v>6614.2846153846185</v>
      </c>
      <c r="P25" s="12">
        <v>43.502000000000002</v>
      </c>
      <c r="Q25" s="12">
        <v>-66.238076923077003</v>
      </c>
      <c r="R25" s="12">
        <v>43.247500000000002</v>
      </c>
      <c r="S25" s="12">
        <v>-66.238076923077003</v>
      </c>
      <c r="T25" s="11" t="e">
        <v>#N/A</v>
      </c>
    </row>
    <row r="26" spans="1:20" ht="15.75" customHeight="1" x14ac:dyDescent="0.35">
      <c r="A26" s="6">
        <v>16</v>
      </c>
      <c r="B26" s="16">
        <v>4334</v>
      </c>
      <c r="C26" s="16">
        <v>6619.7777777777765</v>
      </c>
      <c r="D26" s="16">
        <v>4314</v>
      </c>
      <c r="E26" s="16">
        <v>6619.7777777777765</v>
      </c>
      <c r="F26" s="12">
        <v>43.56666666666667</v>
      </c>
      <c r="G26" s="12">
        <v>-66.329629629629665</v>
      </c>
      <c r="H26" s="12">
        <v>43.233333333333334</v>
      </c>
      <c r="I26" s="12">
        <v>-66.329629629629665</v>
      </c>
      <c r="L26" s="16">
        <v>4330.12</v>
      </c>
      <c r="M26" s="16">
        <v>6614.7692307692341</v>
      </c>
      <c r="N26" s="16">
        <v>4314.8500000000004</v>
      </c>
      <c r="O26" s="16">
        <v>6614.7692307692341</v>
      </c>
      <c r="P26" s="12">
        <v>43.502000000000002</v>
      </c>
      <c r="Q26" s="12">
        <v>-66.246153846153831</v>
      </c>
      <c r="R26" s="12">
        <v>43.247500000000002</v>
      </c>
      <c r="S26" s="12">
        <v>-66.246153846153831</v>
      </c>
      <c r="T26" s="11" t="e">
        <v>#N/A</v>
      </c>
    </row>
    <row r="27" spans="1:20" ht="15.75" customHeight="1" x14ac:dyDescent="0.35">
      <c r="A27" s="6">
        <v>17</v>
      </c>
      <c r="B27" s="16">
        <v>4334</v>
      </c>
      <c r="C27" s="16">
        <v>6620.5962962962949</v>
      </c>
      <c r="D27" s="16">
        <v>4314</v>
      </c>
      <c r="E27" s="16">
        <v>6620.5962962962949</v>
      </c>
      <c r="F27" s="12">
        <v>43.56666666666667</v>
      </c>
      <c r="G27" s="12">
        <v>-66.343271604938167</v>
      </c>
      <c r="H27" s="12">
        <v>43.233333333333334</v>
      </c>
      <c r="I27" s="12">
        <v>-66.343271604938167</v>
      </c>
      <c r="L27" s="16">
        <v>4330.12</v>
      </c>
      <c r="M27" s="16">
        <v>6615.2538461538497</v>
      </c>
      <c r="N27" s="16">
        <v>4314.8500000000004</v>
      </c>
      <c r="O27" s="16">
        <v>6615.2538461538497</v>
      </c>
      <c r="P27" s="12">
        <v>43.502000000000002</v>
      </c>
      <c r="Q27" s="12">
        <v>-66.25423076923083</v>
      </c>
      <c r="R27" s="12">
        <v>43.247500000000002</v>
      </c>
      <c r="S27" s="12">
        <v>-66.25423076923083</v>
      </c>
      <c r="T27" s="11" t="e">
        <v>#N/A</v>
      </c>
    </row>
    <row r="28" spans="1:20" ht="15.75" customHeight="1" x14ac:dyDescent="0.35">
      <c r="A28" s="6">
        <v>18</v>
      </c>
      <c r="B28" s="16">
        <v>4334</v>
      </c>
      <c r="C28" s="16">
        <v>6621.4148148148133</v>
      </c>
      <c r="D28" s="16">
        <v>4314</v>
      </c>
      <c r="E28" s="16">
        <v>6621.4148148148133</v>
      </c>
      <c r="F28" s="12">
        <v>43.56666666666667</v>
      </c>
      <c r="G28" s="12">
        <v>-66.35691358024684</v>
      </c>
      <c r="H28" s="12">
        <v>43.233333333333334</v>
      </c>
      <c r="I28" s="12">
        <v>-66.35691358024684</v>
      </c>
      <c r="L28" s="16">
        <v>4330.12</v>
      </c>
      <c r="M28" s="16">
        <v>6615.7384615384653</v>
      </c>
      <c r="N28" s="16">
        <v>4314.8500000000004</v>
      </c>
      <c r="O28" s="16">
        <v>6615.7384615384653</v>
      </c>
      <c r="P28" s="12">
        <v>43.502000000000002</v>
      </c>
      <c r="Q28" s="12">
        <v>-66.262307692307829</v>
      </c>
      <c r="R28" s="12">
        <v>43.247500000000002</v>
      </c>
      <c r="S28" s="12">
        <v>-66.262307692307829</v>
      </c>
      <c r="T28" s="11" t="e">
        <v>#N/A</v>
      </c>
    </row>
    <row r="29" spans="1:20" ht="15.75" customHeight="1" x14ac:dyDescent="0.35">
      <c r="A29" s="6">
        <v>19</v>
      </c>
      <c r="B29" s="16">
        <v>4334</v>
      </c>
      <c r="C29" s="16">
        <v>6622.2333333333318</v>
      </c>
      <c r="D29" s="16">
        <v>4314</v>
      </c>
      <c r="E29" s="16">
        <v>6622.2333333333318</v>
      </c>
      <c r="F29" s="12">
        <v>43.56666666666667</v>
      </c>
      <c r="G29" s="12">
        <v>-66.370555555555498</v>
      </c>
      <c r="H29" s="12">
        <v>43.233333333333334</v>
      </c>
      <c r="I29" s="12">
        <v>-66.370555555555498</v>
      </c>
      <c r="L29" s="16">
        <v>4330.12</v>
      </c>
      <c r="M29" s="16">
        <v>6616.223076923081</v>
      </c>
      <c r="N29" s="16">
        <v>4314.8500000000004</v>
      </c>
      <c r="O29" s="16">
        <v>6616.223076923081</v>
      </c>
      <c r="P29" s="12">
        <v>43.502000000000002</v>
      </c>
      <c r="Q29" s="12">
        <v>-66.270384615384671</v>
      </c>
      <c r="R29" s="12">
        <v>43.247500000000002</v>
      </c>
      <c r="S29" s="12">
        <v>-66.270384615384671</v>
      </c>
      <c r="T29" s="11" t="e">
        <v>#N/A</v>
      </c>
    </row>
    <row r="30" spans="1:20" ht="15.75" customHeight="1" x14ac:dyDescent="0.35">
      <c r="A30" s="6">
        <v>20</v>
      </c>
      <c r="B30" s="16">
        <v>4334</v>
      </c>
      <c r="C30" s="16">
        <v>6623.0518518518502</v>
      </c>
      <c r="D30" s="16">
        <v>4314</v>
      </c>
      <c r="E30" s="16">
        <v>6623.0518518518502</v>
      </c>
      <c r="F30" s="12">
        <v>43.56666666666667</v>
      </c>
      <c r="G30" s="12">
        <v>-66.384197530864171</v>
      </c>
      <c r="H30" s="12">
        <v>43.233333333333334</v>
      </c>
      <c r="I30" s="12">
        <v>-66.384197530864171</v>
      </c>
      <c r="L30" s="16">
        <v>4330.12</v>
      </c>
      <c r="M30" s="16">
        <v>6616.7076923076966</v>
      </c>
      <c r="N30" s="16">
        <v>4314.8500000000004</v>
      </c>
      <c r="O30" s="16">
        <v>6616.7076923076966</v>
      </c>
      <c r="P30" s="12">
        <v>43.502000000000002</v>
      </c>
      <c r="Q30" s="12">
        <v>-66.27846153846167</v>
      </c>
      <c r="R30" s="12">
        <v>43.247500000000002</v>
      </c>
      <c r="S30" s="12">
        <v>-66.27846153846167</v>
      </c>
      <c r="T30" s="11" t="e">
        <v>#N/A</v>
      </c>
    </row>
    <row r="31" spans="1:20" ht="15.75" customHeight="1" x14ac:dyDescent="0.35">
      <c r="A31" s="6">
        <v>21</v>
      </c>
      <c r="B31" s="16">
        <v>4334</v>
      </c>
      <c r="C31" s="16">
        <v>6623.8703703703686</v>
      </c>
      <c r="D31" s="16">
        <v>4314</v>
      </c>
      <c r="E31" s="16">
        <v>6623.8703703703686</v>
      </c>
      <c r="F31" s="12">
        <v>43.56666666666667</v>
      </c>
      <c r="G31" s="12">
        <v>-66.397839506172829</v>
      </c>
      <c r="H31" s="12">
        <v>43.233333333333334</v>
      </c>
      <c r="I31" s="12">
        <v>-66.397839506172829</v>
      </c>
      <c r="L31" s="16">
        <v>4330.12</v>
      </c>
      <c r="M31" s="16">
        <v>6617.1923076923122</v>
      </c>
      <c r="N31" s="16">
        <v>4314.8500000000004</v>
      </c>
      <c r="O31" s="16">
        <v>6617.1923076923122</v>
      </c>
      <c r="P31" s="12">
        <v>43.502000000000002</v>
      </c>
      <c r="Q31" s="12">
        <v>-66.286538461538498</v>
      </c>
      <c r="R31" s="12">
        <v>43.247500000000002</v>
      </c>
      <c r="S31" s="12">
        <v>-66.286538461538498</v>
      </c>
      <c r="T31" s="11" t="e">
        <v>#N/A</v>
      </c>
    </row>
    <row r="32" spans="1:20" ht="15.75" customHeight="1" x14ac:dyDescent="0.35">
      <c r="A32" s="6">
        <v>22</v>
      </c>
      <c r="B32" s="16">
        <v>4334</v>
      </c>
      <c r="C32" s="16">
        <v>6624.688888888887</v>
      </c>
      <c r="D32" s="16">
        <v>4314</v>
      </c>
      <c r="E32" s="16">
        <v>6624.688888888887</v>
      </c>
      <c r="F32" s="12">
        <v>43.56666666666667</v>
      </c>
      <c r="G32" s="12">
        <v>-66.411481481481502</v>
      </c>
      <c r="H32" s="12">
        <v>43.233333333333334</v>
      </c>
      <c r="I32" s="12">
        <v>-66.411481481481502</v>
      </c>
      <c r="L32" s="16">
        <v>4330.12</v>
      </c>
      <c r="M32" s="16">
        <v>6617.6769230769278</v>
      </c>
      <c r="N32" s="16">
        <v>4314.8500000000004</v>
      </c>
      <c r="O32" s="16">
        <v>6617.6769230769278</v>
      </c>
      <c r="P32" s="12">
        <v>43.502000000000002</v>
      </c>
      <c r="Q32" s="12">
        <v>-66.294615384615497</v>
      </c>
      <c r="R32" s="12">
        <v>43.247500000000002</v>
      </c>
      <c r="S32" s="12">
        <v>-66.294615384615497</v>
      </c>
      <c r="T32" s="11" t="e">
        <v>#N/A</v>
      </c>
    </row>
    <row r="33" spans="1:20" ht="15.75" customHeight="1" x14ac:dyDescent="0.35">
      <c r="A33" s="6">
        <v>23</v>
      </c>
      <c r="B33" s="16">
        <v>4334</v>
      </c>
      <c r="C33" s="16">
        <v>6625.5074074074055</v>
      </c>
      <c r="D33" s="16">
        <v>4314</v>
      </c>
      <c r="E33" s="16">
        <v>6625.5074074074055</v>
      </c>
      <c r="F33" s="12">
        <v>43.56666666666667</v>
      </c>
      <c r="G33" s="12">
        <v>-66.425123456790161</v>
      </c>
      <c r="H33" s="12">
        <v>43.233333333333334</v>
      </c>
      <c r="I33" s="12">
        <v>-66.425123456790161</v>
      </c>
      <c r="L33" s="16">
        <v>4330.12</v>
      </c>
      <c r="M33" s="16">
        <v>6618.1615384615434</v>
      </c>
      <c r="N33" s="16">
        <v>4314.8500000000004</v>
      </c>
      <c r="O33" s="16">
        <v>6618.1615384615434</v>
      </c>
      <c r="P33" s="12">
        <v>43.502000000000002</v>
      </c>
      <c r="Q33" s="12">
        <v>-66.30269230769234</v>
      </c>
      <c r="R33" s="12">
        <v>43.247500000000002</v>
      </c>
      <c r="S33" s="12">
        <v>-66.30269230769234</v>
      </c>
      <c r="T33" s="11" t="e">
        <v>#N/A</v>
      </c>
    </row>
    <row r="34" spans="1:20" ht="15.75" customHeight="1" x14ac:dyDescent="0.35">
      <c r="A34" s="6">
        <v>24</v>
      </c>
      <c r="B34" s="16">
        <v>4334</v>
      </c>
      <c r="C34" s="16">
        <v>6626.3259259259239</v>
      </c>
      <c r="D34" s="16">
        <v>4314</v>
      </c>
      <c r="E34" s="16">
        <v>6626.3259259259239</v>
      </c>
      <c r="F34" s="12">
        <v>43.56666666666667</v>
      </c>
      <c r="G34" s="12">
        <v>-66.438765432098663</v>
      </c>
      <c r="H34" s="12">
        <v>43.233333333333334</v>
      </c>
      <c r="I34" s="12">
        <v>-66.438765432098663</v>
      </c>
      <c r="L34" s="16">
        <v>4330.12</v>
      </c>
      <c r="M34" s="16">
        <v>6618.646153846159</v>
      </c>
      <c r="N34" s="16">
        <v>4314.8500000000004</v>
      </c>
      <c r="O34" s="16">
        <v>6618.646153846159</v>
      </c>
      <c r="P34" s="12">
        <v>43.502000000000002</v>
      </c>
      <c r="Q34" s="12">
        <v>-66.310769230769338</v>
      </c>
      <c r="R34" s="12">
        <v>43.247500000000002</v>
      </c>
      <c r="S34" s="12">
        <v>-66.310769230769338</v>
      </c>
      <c r="T34" s="11" t="e">
        <v>#N/A</v>
      </c>
    </row>
    <row r="35" spans="1:20" ht="15.75" customHeight="1" x14ac:dyDescent="0.35">
      <c r="A35" s="22">
        <v>25</v>
      </c>
      <c r="B35" s="15">
        <v>4334</v>
      </c>
      <c r="C35" s="15">
        <v>6627.1444444444423</v>
      </c>
      <c r="D35" s="15">
        <v>4314</v>
      </c>
      <c r="E35" s="15">
        <v>6627.1444444444423</v>
      </c>
      <c r="F35" s="11">
        <v>43.56666666666667</v>
      </c>
      <c r="G35" s="11">
        <v>-66.452407407407335</v>
      </c>
      <c r="H35" s="11">
        <v>43.233333333333334</v>
      </c>
      <c r="I35" s="11">
        <v>-66.452407407407335</v>
      </c>
    </row>
    <row r="36" spans="1:20" ht="15.75" customHeight="1" x14ac:dyDescent="0.35">
      <c r="A36" s="22">
        <v>26</v>
      </c>
      <c r="B36" s="15">
        <v>4334</v>
      </c>
      <c r="C36" s="15">
        <v>6627.9629629629608</v>
      </c>
      <c r="D36" s="15">
        <v>4314</v>
      </c>
      <c r="E36" s="15">
        <v>6627.9629629629608</v>
      </c>
      <c r="F36" s="11">
        <v>43.56666666666667</v>
      </c>
      <c r="G36" s="11">
        <v>-66.466049382715994</v>
      </c>
      <c r="H36" s="11">
        <v>43.233333333333334</v>
      </c>
      <c r="I36" s="11">
        <v>-66.466049382715994</v>
      </c>
    </row>
    <row r="37" spans="1:20" ht="15.75" customHeight="1" x14ac:dyDescent="0.35">
      <c r="A37" s="22">
        <v>27</v>
      </c>
      <c r="B37" s="15">
        <v>4334</v>
      </c>
      <c r="C37" s="15">
        <v>6628.7814814814792</v>
      </c>
      <c r="D37" s="15">
        <v>4314</v>
      </c>
      <c r="E37" s="15">
        <v>6628.7814814814792</v>
      </c>
      <c r="F37" s="11">
        <v>43.56666666666667</v>
      </c>
      <c r="G37" s="11">
        <v>-66.479691358024667</v>
      </c>
      <c r="H37" s="11">
        <v>43.233333333333334</v>
      </c>
      <c r="I37" s="11">
        <v>-66.479691358024667</v>
      </c>
    </row>
    <row r="38" spans="1:20" ht="15.75" customHeight="1" x14ac:dyDescent="0.35">
      <c r="A38" s="22">
        <v>28</v>
      </c>
      <c r="B38" s="15">
        <v>4334</v>
      </c>
      <c r="C38" s="15">
        <v>6629.5999999999976</v>
      </c>
      <c r="D38" s="15">
        <v>4314</v>
      </c>
      <c r="E38" s="15">
        <v>6629.5999999999976</v>
      </c>
      <c r="F38" s="11">
        <v>43.56666666666667</v>
      </c>
      <c r="G38" s="11">
        <v>-66.493333333333339</v>
      </c>
      <c r="H38" s="11">
        <v>43.233333333333334</v>
      </c>
      <c r="I38" s="11">
        <v>-66.493333333333339</v>
      </c>
    </row>
    <row r="39" spans="1:20" ht="15.75" customHeight="1" x14ac:dyDescent="0.35">
      <c r="A39" s="22">
        <v>29</v>
      </c>
      <c r="B39" s="15">
        <v>4334</v>
      </c>
      <c r="C39" s="15">
        <v>6630.4185185185161</v>
      </c>
      <c r="D39" s="15">
        <v>4314</v>
      </c>
      <c r="E39" s="15">
        <v>6630.4185185185161</v>
      </c>
      <c r="F39" s="11">
        <v>43.56666666666667</v>
      </c>
      <c r="G39" s="11">
        <v>-66.506975308641998</v>
      </c>
      <c r="H39" s="11">
        <v>43.233333333333334</v>
      </c>
      <c r="I39" s="11">
        <v>-66.506975308641998</v>
      </c>
    </row>
    <row r="40" spans="1:20" ht="15.75" customHeight="1" x14ac:dyDescent="0.35">
      <c r="A40" s="22">
        <v>30</v>
      </c>
      <c r="B40" s="15">
        <v>4334</v>
      </c>
      <c r="C40" s="15">
        <v>6631.2370370370345</v>
      </c>
      <c r="D40" s="15">
        <v>4314</v>
      </c>
      <c r="E40" s="15">
        <v>6631.2370370370345</v>
      </c>
      <c r="F40" s="11">
        <v>43.56666666666667</v>
      </c>
      <c r="G40" s="11">
        <v>-66.5206172839505</v>
      </c>
      <c r="H40" s="11">
        <v>43.233333333333334</v>
      </c>
      <c r="I40" s="11">
        <v>-66.5206172839505</v>
      </c>
    </row>
    <row r="41" spans="1:20" ht="15.75" customHeight="1" x14ac:dyDescent="0.35">
      <c r="A41" s="22">
        <f>A40+1</f>
        <v>31</v>
      </c>
      <c r="B41" s="15">
        <v>4334</v>
      </c>
      <c r="C41" s="15">
        <v>6632.0555555555529</v>
      </c>
      <c r="D41" s="15">
        <v>4314</v>
      </c>
      <c r="E41" s="15">
        <v>6632.0555555555529</v>
      </c>
      <c r="F41" s="11">
        <v>43.56666666666667</v>
      </c>
      <c r="G41" s="11">
        <v>-66.534259259259173</v>
      </c>
      <c r="H41" s="11">
        <v>43.233333333333334</v>
      </c>
      <c r="I41" s="11">
        <v>-66.534259259259173</v>
      </c>
    </row>
    <row r="42" spans="1:20" ht="15.75" customHeight="1" x14ac:dyDescent="0.35">
      <c r="A42" s="22">
        <f t="shared" ref="A42:A50" si="0">A41+1</f>
        <v>32</v>
      </c>
      <c r="B42" s="15">
        <v>4334</v>
      </c>
      <c r="C42" s="15">
        <v>6632.8740740740714</v>
      </c>
      <c r="D42" s="15">
        <v>4314</v>
      </c>
      <c r="E42" s="15">
        <v>6632.8740740740714</v>
      </c>
      <c r="F42" s="11">
        <v>43.56666666666667</v>
      </c>
      <c r="G42" s="11">
        <v>-66.547901234567831</v>
      </c>
      <c r="H42" s="11">
        <v>43.233333333333334</v>
      </c>
      <c r="I42" s="11">
        <v>-66.547901234567831</v>
      </c>
    </row>
    <row r="43" spans="1:20" ht="15.75" customHeight="1" x14ac:dyDescent="0.35">
      <c r="A43" s="22">
        <f t="shared" si="0"/>
        <v>33</v>
      </c>
      <c r="B43" s="15">
        <v>4334</v>
      </c>
      <c r="C43" s="15">
        <v>6633.6925925925898</v>
      </c>
      <c r="D43" s="15">
        <v>4314</v>
      </c>
      <c r="E43" s="15">
        <v>6633.6925925925898</v>
      </c>
      <c r="F43" s="11">
        <v>43.56666666666667</v>
      </c>
      <c r="G43" s="11">
        <v>-66.561543209876504</v>
      </c>
      <c r="H43" s="11">
        <v>43.233333333333334</v>
      </c>
      <c r="I43" s="11">
        <v>-66.561543209876504</v>
      </c>
    </row>
    <row r="44" spans="1:20" ht="15.75" customHeight="1" x14ac:dyDescent="0.35">
      <c r="A44" s="22">
        <f t="shared" si="0"/>
        <v>34</v>
      </c>
      <c r="B44" s="15">
        <v>4334</v>
      </c>
      <c r="C44" s="15">
        <v>6634.5111111111082</v>
      </c>
      <c r="D44" s="15">
        <v>4314</v>
      </c>
      <c r="E44" s="15">
        <v>6634.5111111111082</v>
      </c>
      <c r="F44" s="11">
        <v>43.56666666666667</v>
      </c>
      <c r="G44" s="11">
        <v>-66.575185185185163</v>
      </c>
      <c r="H44" s="11">
        <v>43.233333333333334</v>
      </c>
      <c r="I44" s="11">
        <v>-66.575185185185163</v>
      </c>
    </row>
    <row r="45" spans="1:20" ht="15.75" customHeight="1" x14ac:dyDescent="0.35">
      <c r="A45" s="22">
        <f t="shared" si="0"/>
        <v>35</v>
      </c>
      <c r="B45" s="15">
        <v>4334</v>
      </c>
      <c r="C45" s="15">
        <v>6635.3296296296267</v>
      </c>
      <c r="D45" s="15">
        <v>4314</v>
      </c>
      <c r="E45" s="15">
        <v>6635.3296296296267</v>
      </c>
      <c r="F45" s="11">
        <v>43.56666666666667</v>
      </c>
      <c r="G45" s="11">
        <v>-66.588827160493835</v>
      </c>
      <c r="H45" s="11">
        <v>43.233333333333334</v>
      </c>
      <c r="I45" s="11">
        <v>-66.588827160493835</v>
      </c>
    </row>
    <row r="46" spans="1:20" ht="15.75" customHeight="1" x14ac:dyDescent="0.35">
      <c r="A46" s="22">
        <f t="shared" si="0"/>
        <v>36</v>
      </c>
      <c r="B46" s="15">
        <v>4334</v>
      </c>
      <c r="C46" s="15">
        <v>6636.1481481481451</v>
      </c>
      <c r="D46" s="15">
        <v>4314</v>
      </c>
      <c r="E46" s="15">
        <v>6636.1481481481451</v>
      </c>
      <c r="F46" s="11">
        <v>43.56666666666667</v>
      </c>
      <c r="G46" s="11">
        <v>-66.602469135802494</v>
      </c>
      <c r="H46" s="11">
        <v>43.233333333333334</v>
      </c>
      <c r="I46" s="11">
        <v>-66.602469135802494</v>
      </c>
    </row>
    <row r="47" spans="1:20" ht="15.75" customHeight="1" x14ac:dyDescent="0.35">
      <c r="A47" s="22">
        <f t="shared" si="0"/>
        <v>37</v>
      </c>
      <c r="B47" s="15">
        <v>4334</v>
      </c>
      <c r="C47" s="15">
        <v>6636.9666666666635</v>
      </c>
      <c r="D47" s="15">
        <v>4314</v>
      </c>
      <c r="E47" s="15">
        <v>6636.9666666666635</v>
      </c>
      <c r="F47" s="11">
        <v>43.56666666666667</v>
      </c>
      <c r="G47" s="11">
        <v>-66.616111111110996</v>
      </c>
      <c r="H47" s="11">
        <v>43.233333333333334</v>
      </c>
      <c r="I47" s="11">
        <v>-66.616111111110996</v>
      </c>
    </row>
    <row r="48" spans="1:20" ht="15.75" customHeight="1" x14ac:dyDescent="0.35">
      <c r="A48" s="22">
        <f t="shared" si="0"/>
        <v>38</v>
      </c>
      <c r="B48" s="15">
        <v>4334</v>
      </c>
      <c r="C48" s="15">
        <v>6637.7851851851819</v>
      </c>
      <c r="D48" s="15">
        <v>4314</v>
      </c>
      <c r="E48" s="15">
        <v>6637.7851851851819</v>
      </c>
      <c r="F48" s="11">
        <v>43.56666666666667</v>
      </c>
      <c r="G48" s="11">
        <v>-66.629753086419669</v>
      </c>
      <c r="H48" s="11">
        <v>43.233333333333334</v>
      </c>
      <c r="I48" s="11">
        <v>-66.629753086419669</v>
      </c>
    </row>
    <row r="49" spans="1:9" ht="15.75" customHeight="1" x14ac:dyDescent="0.35">
      <c r="A49" s="22">
        <f t="shared" si="0"/>
        <v>39</v>
      </c>
      <c r="B49" s="15">
        <v>4334</v>
      </c>
      <c r="C49" s="15">
        <v>6638.6037037037004</v>
      </c>
      <c r="D49" s="15">
        <v>4314</v>
      </c>
      <c r="E49" s="15">
        <v>6638.6037037037004</v>
      </c>
      <c r="F49" s="11">
        <v>43.56666666666667</v>
      </c>
      <c r="G49" s="11">
        <v>-66.643395061728327</v>
      </c>
      <c r="H49" s="11">
        <v>43.233333333333334</v>
      </c>
      <c r="I49" s="11">
        <v>-66.643395061728327</v>
      </c>
    </row>
    <row r="50" spans="1:9" ht="15.75" customHeight="1" x14ac:dyDescent="0.35">
      <c r="A50" s="22">
        <f t="shared" si="0"/>
        <v>40</v>
      </c>
      <c r="B50" s="15">
        <v>4334</v>
      </c>
      <c r="C50" s="15">
        <v>6639.4222222222188</v>
      </c>
      <c r="D50" s="15">
        <v>4314</v>
      </c>
      <c r="E50" s="15">
        <v>6639.4222222222188</v>
      </c>
      <c r="F50" s="11">
        <v>43.56666666666667</v>
      </c>
      <c r="G50" s="11">
        <v>-66.657037037037</v>
      </c>
      <c r="H50" s="11">
        <v>43.233333333333334</v>
      </c>
      <c r="I50" s="11">
        <v>-66.657037037037</v>
      </c>
    </row>
    <row r="51" spans="1:9" ht="15.75" customHeight="1" x14ac:dyDescent="0.35">
      <c r="A51" s="22"/>
    </row>
    <row r="52" spans="1:9" ht="15.75" customHeight="1" x14ac:dyDescent="0.35"/>
    <row r="53" spans="1:9" ht="15.75" customHeight="1" x14ac:dyDescent="0.35"/>
    <row r="54" spans="1:9" ht="15.75" customHeight="1" x14ac:dyDescent="0.35"/>
    <row r="55" spans="1:9" ht="15.75" customHeight="1" x14ac:dyDescent="0.35"/>
    <row r="56" spans="1:9" ht="15.75" customHeight="1" x14ac:dyDescent="0.35"/>
    <row r="57" spans="1:9" ht="15.75" customHeight="1" x14ac:dyDescent="0.35"/>
    <row r="58" spans="1:9" ht="15.75" customHeight="1" x14ac:dyDescent="0.35"/>
    <row r="59" spans="1:9" ht="15.75" customHeight="1" x14ac:dyDescent="0.35"/>
    <row r="60" spans="1:9" ht="15.75" customHeight="1" x14ac:dyDescent="0.35"/>
    <row r="61" spans="1:9" ht="15.75" customHeight="1" x14ac:dyDescent="0.35"/>
    <row r="62" spans="1:9" ht="15.75" customHeight="1" x14ac:dyDescent="0.35"/>
    <row r="63" spans="1:9" ht="15.75" customHeight="1" x14ac:dyDescent="0.35"/>
    <row r="64" spans="1:9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dataValidations count="3">
    <dataValidation type="list" allowBlank="1" showErrorMessage="1" sqref="B1" xr:uid="{00000000-0002-0000-0000-000000000000}">
      <formula1>"1,2,3,4,5,6,7,8,9,10, 11, 12, 13, 14, 15, 16, 17, 18, 19, 20"</formula1>
    </dataValidation>
    <dataValidation type="list" allowBlank="1" showErrorMessage="1" sqref="B2" xr:uid="{00000000-0002-0000-0000-000001000000}">
      <formula1>"German Bank,Scots Bay"</formula1>
    </dataValidation>
    <dataValidation type="list" allowBlank="1" showErrorMessage="1" sqref="B3" xr:uid="{00000000-0002-0000-0000-000002000000}">
      <formula1>"None,North,East,Both"</formula1>
    </dataValidation>
  </dataValidation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E1000"/>
  <sheetViews>
    <sheetView workbookViewId="0">
      <selection activeCell="K23" sqref="K23"/>
    </sheetView>
  </sheetViews>
  <sheetFormatPr defaultColWidth="14.453125" defaultRowHeight="15" customHeight="1" x14ac:dyDescent="0.35"/>
  <cols>
    <col min="1" max="1" width="6.81640625" bestFit="1" customWidth="1"/>
    <col min="2" max="26" width="8.7265625" customWidth="1"/>
  </cols>
  <sheetData>
    <row r="1" spans="1:5" ht="14.5" x14ac:dyDescent="0.35">
      <c r="A1" s="6" t="s">
        <v>10</v>
      </c>
      <c r="B1" s="6" t="s">
        <v>11</v>
      </c>
      <c r="C1" s="6" t="s">
        <v>12</v>
      </c>
      <c r="D1" s="6" t="s">
        <v>13</v>
      </c>
      <c r="E1" s="6" t="s">
        <v>14</v>
      </c>
    </row>
    <row r="2" spans="1:5" ht="14.5" x14ac:dyDescent="0.35">
      <c r="A2" s="19" t="s">
        <v>39</v>
      </c>
      <c r="B2" s="12">
        <v>43.56666666666667</v>
      </c>
      <c r="C2" s="12">
        <v>-66.239999999999995</v>
      </c>
      <c r="D2" s="12">
        <v>43.233333333333334</v>
      </c>
      <c r="E2" s="12">
        <v>-66.239999999999995</v>
      </c>
    </row>
    <row r="3" spans="1:5" ht="14.5" x14ac:dyDescent="0.35">
      <c r="A3" s="19" t="s">
        <v>40</v>
      </c>
      <c r="B3" s="12">
        <v>43.56666666666667</v>
      </c>
      <c r="C3" s="12">
        <v>-66.268148148148171</v>
      </c>
      <c r="D3" s="12">
        <v>43.233333333333334</v>
      </c>
      <c r="E3" s="12">
        <v>-66.268148148148171</v>
      </c>
    </row>
    <row r="4" spans="1:5" ht="14.5" x14ac:dyDescent="0.35">
      <c r="A4" s="19" t="s">
        <v>41</v>
      </c>
      <c r="B4" s="12">
        <v>43.56666666666667</v>
      </c>
      <c r="C4" s="12">
        <v>-66.296296296296333</v>
      </c>
      <c r="D4" s="12">
        <v>43.233333333333334</v>
      </c>
      <c r="E4" s="12">
        <v>-66.296296296296333</v>
      </c>
    </row>
    <row r="5" spans="1:5" ht="14.5" x14ac:dyDescent="0.35">
      <c r="A5" s="19" t="s">
        <v>42</v>
      </c>
      <c r="B5" s="12">
        <v>43.56666666666667</v>
      </c>
      <c r="C5" s="12">
        <v>-66.324444444444495</v>
      </c>
      <c r="D5" s="12">
        <v>43.233333333333334</v>
      </c>
      <c r="E5" s="12">
        <v>-66.324444444444495</v>
      </c>
    </row>
    <row r="6" spans="1:5" ht="14.5" x14ac:dyDescent="0.35">
      <c r="A6" s="19" t="s">
        <v>43</v>
      </c>
      <c r="B6" s="12">
        <v>43.56666666666667</v>
      </c>
      <c r="C6" s="12">
        <v>-66.352592592592671</v>
      </c>
      <c r="D6" s="12">
        <v>43.233333333333334</v>
      </c>
      <c r="E6" s="12">
        <v>-66.352592592592671</v>
      </c>
    </row>
    <row r="7" spans="1:5" ht="14.5" x14ac:dyDescent="0.35">
      <c r="A7" s="19" t="s">
        <v>39</v>
      </c>
      <c r="B7" s="12">
        <v>43.56666666666667</v>
      </c>
      <c r="C7" s="12">
        <v>-66.380740740740663</v>
      </c>
      <c r="D7" s="12">
        <v>43.233333333333334</v>
      </c>
      <c r="E7" s="12">
        <v>-66.380740740740663</v>
      </c>
    </row>
    <row r="8" spans="1:5" ht="14.5" x14ac:dyDescent="0.35">
      <c r="A8" s="19" t="s">
        <v>40</v>
      </c>
      <c r="B8" s="12">
        <v>43.56666666666667</v>
      </c>
      <c r="C8" s="12">
        <v>-66.408888888888839</v>
      </c>
      <c r="D8" s="12">
        <v>43.233333333333334</v>
      </c>
      <c r="E8" s="12">
        <v>-66.408888888888839</v>
      </c>
    </row>
    <row r="9" spans="1:5" ht="14.5" x14ac:dyDescent="0.35">
      <c r="A9" s="19" t="s">
        <v>41</v>
      </c>
      <c r="B9" s="12">
        <v>43.56666666666667</v>
      </c>
      <c r="C9" s="12">
        <v>-66.437037037037001</v>
      </c>
      <c r="D9" s="12">
        <v>43.233333333333334</v>
      </c>
      <c r="E9" s="12">
        <v>-66.437037037037001</v>
      </c>
    </row>
    <row r="10" spans="1:5" ht="14.5" x14ac:dyDescent="0.35">
      <c r="A10" s="19" t="s">
        <v>42</v>
      </c>
      <c r="B10" s="12">
        <v>43.56666666666667</v>
      </c>
      <c r="C10" s="12">
        <v>-66.465185185185163</v>
      </c>
      <c r="D10" s="12">
        <v>43.233333333333334</v>
      </c>
      <c r="E10" s="12">
        <v>-66.465185185185163</v>
      </c>
    </row>
    <row r="11" spans="1:5" ht="14.5" x14ac:dyDescent="0.35">
      <c r="A11" s="19" t="s">
        <v>43</v>
      </c>
      <c r="B11" s="12">
        <v>43.56666666666667</v>
      </c>
      <c r="C11" s="12">
        <v>-66.493333333333339</v>
      </c>
      <c r="D11" s="12">
        <v>43.233333333333334</v>
      </c>
      <c r="E11" s="12">
        <v>-66.493333333333339</v>
      </c>
    </row>
    <row r="12" spans="1:5" ht="14.5" x14ac:dyDescent="0.35">
      <c r="A12" s="20" t="s">
        <v>44</v>
      </c>
      <c r="B12" s="6">
        <v>43.502000000000002</v>
      </c>
      <c r="C12" s="6">
        <v>-66.125</v>
      </c>
      <c r="D12" s="6">
        <v>43.247500000000002</v>
      </c>
      <c r="E12" s="6">
        <v>-66.125</v>
      </c>
    </row>
    <row r="13" spans="1:5" ht="14.5" x14ac:dyDescent="0.35">
      <c r="A13" s="20" t="s">
        <v>46</v>
      </c>
      <c r="B13" s="6">
        <v>43.502000000000002</v>
      </c>
      <c r="C13" s="6">
        <v>-66.16</v>
      </c>
      <c r="D13" s="6">
        <v>43.247500000000002</v>
      </c>
      <c r="E13" s="6">
        <v>-66.16</v>
      </c>
    </row>
    <row r="14" spans="1:5" ht="14.5" x14ac:dyDescent="0.35">
      <c r="A14" s="20" t="s">
        <v>44</v>
      </c>
      <c r="B14" s="6">
        <v>43.502000000000002</v>
      </c>
      <c r="C14" s="6">
        <v>-66.194999999999993</v>
      </c>
      <c r="D14" s="6">
        <v>43.247500000000002</v>
      </c>
      <c r="E14" s="6">
        <v>-66.194999999999993</v>
      </c>
    </row>
    <row r="15" spans="1:5" ht="14.5" x14ac:dyDescent="0.35">
      <c r="A15" s="20" t="s">
        <v>46</v>
      </c>
      <c r="B15" s="6">
        <v>43.502000000000002</v>
      </c>
      <c r="C15" s="6">
        <v>-66.23</v>
      </c>
      <c r="D15" s="6">
        <v>43.247500000000002</v>
      </c>
      <c r="E15" s="6">
        <v>-66.23</v>
      </c>
    </row>
    <row r="16" spans="1:5" ht="14.5" x14ac:dyDescent="0.35">
      <c r="A16" s="20" t="s">
        <v>44</v>
      </c>
      <c r="B16" s="6">
        <v>43.502000000000002</v>
      </c>
      <c r="C16" s="6">
        <v>-66.265000000000001</v>
      </c>
      <c r="D16" s="6">
        <v>43.247500000000002</v>
      </c>
      <c r="E16" s="6">
        <v>-66.265000000000001</v>
      </c>
    </row>
    <row r="17" spans="1:5" ht="14.5" x14ac:dyDescent="0.35">
      <c r="A17" s="20" t="s">
        <v>46</v>
      </c>
      <c r="B17" s="6">
        <v>43.502000000000002</v>
      </c>
      <c r="C17" s="6">
        <v>-66.3</v>
      </c>
      <c r="D17" s="6">
        <v>43.247500000000002</v>
      </c>
      <c r="E17" s="6">
        <v>-66.3</v>
      </c>
    </row>
    <row r="18" spans="1:5" ht="14.5" x14ac:dyDescent="0.35">
      <c r="A18" s="20" t="s">
        <v>44</v>
      </c>
      <c r="B18" s="6">
        <v>43.502000000000002</v>
      </c>
      <c r="C18" s="6">
        <v>-66.334999999999994</v>
      </c>
      <c r="D18" s="6">
        <v>43.247500000000002</v>
      </c>
      <c r="E18" s="6">
        <v>-66.334999999999994</v>
      </c>
    </row>
    <row r="19" spans="1:5" ht="14.5" x14ac:dyDescent="0.35">
      <c r="A19" s="20" t="s">
        <v>46</v>
      </c>
      <c r="B19" s="6">
        <v>43.502000000000002</v>
      </c>
      <c r="C19" s="6">
        <v>-66.37</v>
      </c>
      <c r="D19" s="6">
        <v>43.247500000000002</v>
      </c>
      <c r="E19" s="6">
        <v>-66.37</v>
      </c>
    </row>
    <row r="20" spans="1:5" ht="14.5" x14ac:dyDescent="0.35">
      <c r="A20" s="19"/>
      <c r="B20" s="6"/>
      <c r="C20" s="6"/>
      <c r="D20" s="6"/>
      <c r="E20" s="6"/>
    </row>
    <row r="21" spans="1:5" ht="15.75" customHeight="1" x14ac:dyDescent="0.35">
      <c r="A21" s="19"/>
      <c r="B21" s="6"/>
      <c r="C21" s="6"/>
      <c r="D21" s="6"/>
      <c r="E21" s="6"/>
    </row>
    <row r="22" spans="1:5" ht="15.75" customHeight="1" x14ac:dyDescent="0.35"/>
    <row r="23" spans="1:5" ht="15.75" customHeight="1" x14ac:dyDescent="0.35"/>
    <row r="24" spans="1:5" ht="15.75" customHeight="1" x14ac:dyDescent="0.35"/>
    <row r="25" spans="1:5" ht="15.75" customHeight="1" x14ac:dyDescent="0.35"/>
    <row r="26" spans="1:5" ht="15.75" customHeight="1" x14ac:dyDescent="0.35"/>
    <row r="27" spans="1:5" ht="15.75" customHeight="1" x14ac:dyDescent="0.35"/>
    <row r="28" spans="1:5" ht="15.75" customHeight="1" x14ac:dyDescent="0.35"/>
    <row r="29" spans="1:5" ht="15.75" customHeight="1" x14ac:dyDescent="0.35"/>
    <row r="30" spans="1:5" ht="15.75" customHeight="1" x14ac:dyDescent="0.35"/>
    <row r="31" spans="1:5" ht="15.75" customHeight="1" x14ac:dyDescent="0.35"/>
    <row r="32" spans="1:5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/>
  </sheetPr>
  <dimension ref="A1:E991"/>
  <sheetViews>
    <sheetView workbookViewId="0">
      <selection activeCell="B12" sqref="B12:E19"/>
    </sheetView>
  </sheetViews>
  <sheetFormatPr defaultColWidth="14.453125" defaultRowHeight="15" customHeight="1" x14ac:dyDescent="0.35"/>
  <cols>
    <col min="1" max="1" width="6.81640625" bestFit="1" customWidth="1"/>
    <col min="2" max="26" width="8.7265625" customWidth="1"/>
  </cols>
  <sheetData>
    <row r="1" spans="1:5" ht="14.5" x14ac:dyDescent="0.35">
      <c r="A1" s="6" t="s">
        <v>10</v>
      </c>
      <c r="B1" s="6" t="s">
        <v>11</v>
      </c>
      <c r="C1" s="6" t="s">
        <v>12</v>
      </c>
      <c r="D1" s="6" t="s">
        <v>13</v>
      </c>
      <c r="E1" s="6" t="s">
        <v>14</v>
      </c>
    </row>
    <row r="2" spans="1:5" ht="14.5" x14ac:dyDescent="0.35">
      <c r="A2" s="19" t="s">
        <v>39</v>
      </c>
      <c r="B2" s="16">
        <v>4334</v>
      </c>
      <c r="C2" s="16">
        <v>6614.4</v>
      </c>
      <c r="D2" s="16">
        <v>4314</v>
      </c>
      <c r="E2" s="16">
        <v>6614.4</v>
      </c>
    </row>
    <row r="3" spans="1:5" ht="14.5" x14ac:dyDescent="0.35">
      <c r="A3" s="19" t="s">
        <v>40</v>
      </c>
      <c r="B3" s="16">
        <v>4334</v>
      </c>
      <c r="C3" s="16">
        <v>6616.0888888888885</v>
      </c>
      <c r="D3" s="16">
        <v>4314</v>
      </c>
      <c r="E3" s="16">
        <v>6616.0888888888885</v>
      </c>
    </row>
    <row r="4" spans="1:5" ht="14.5" x14ac:dyDescent="0.35">
      <c r="A4" s="19" t="s">
        <v>41</v>
      </c>
      <c r="B4" s="16">
        <v>4334</v>
      </c>
      <c r="C4" s="16">
        <v>6617.7777777777774</v>
      </c>
      <c r="D4" s="16">
        <v>4314</v>
      </c>
      <c r="E4" s="16">
        <v>6617.7777777777774</v>
      </c>
    </row>
    <row r="5" spans="1:5" ht="14.5" x14ac:dyDescent="0.35">
      <c r="A5" s="19" t="s">
        <v>42</v>
      </c>
      <c r="B5" s="16">
        <v>4334</v>
      </c>
      <c r="C5" s="16">
        <v>6619.4666666666662</v>
      </c>
      <c r="D5" s="16">
        <v>4314</v>
      </c>
      <c r="E5" s="16">
        <v>6619.4666666666662</v>
      </c>
    </row>
    <row r="6" spans="1:5" ht="14.5" x14ac:dyDescent="0.35">
      <c r="A6" s="19" t="s">
        <v>43</v>
      </c>
      <c r="B6" s="16">
        <v>4334</v>
      </c>
      <c r="C6" s="16">
        <v>6621.1555555555551</v>
      </c>
      <c r="D6" s="16">
        <v>4314</v>
      </c>
      <c r="E6" s="16">
        <v>6621.1555555555551</v>
      </c>
    </row>
    <row r="7" spans="1:5" ht="14.5" x14ac:dyDescent="0.35">
      <c r="A7" s="19" t="s">
        <v>39</v>
      </c>
      <c r="B7" s="16">
        <v>4334</v>
      </c>
      <c r="C7" s="16">
        <v>6622.844444444444</v>
      </c>
      <c r="D7" s="16">
        <v>4314</v>
      </c>
      <c r="E7" s="16">
        <v>6622.844444444444</v>
      </c>
    </row>
    <row r="8" spans="1:5" ht="14.5" x14ac:dyDescent="0.35">
      <c r="A8" s="19" t="s">
        <v>40</v>
      </c>
      <c r="B8" s="16">
        <v>4334</v>
      </c>
      <c r="C8" s="16">
        <v>6624.5333333333328</v>
      </c>
      <c r="D8" s="16">
        <v>4314</v>
      </c>
      <c r="E8" s="16">
        <v>6624.5333333333328</v>
      </c>
    </row>
    <row r="9" spans="1:5" ht="14.5" x14ac:dyDescent="0.35">
      <c r="A9" s="19" t="s">
        <v>41</v>
      </c>
      <c r="B9" s="16">
        <v>4334</v>
      </c>
      <c r="C9" s="16">
        <v>6626.2222222222217</v>
      </c>
      <c r="D9" s="16">
        <v>4314</v>
      </c>
      <c r="E9" s="16">
        <v>6626.2222222222217</v>
      </c>
    </row>
    <row r="10" spans="1:5" ht="14.5" x14ac:dyDescent="0.35">
      <c r="A10" s="19" t="s">
        <v>42</v>
      </c>
      <c r="B10" s="16">
        <v>4334</v>
      </c>
      <c r="C10" s="16">
        <v>6627.9111111111106</v>
      </c>
      <c r="D10" s="16">
        <v>4314</v>
      </c>
      <c r="E10" s="16">
        <v>6627.9111111111106</v>
      </c>
    </row>
    <row r="11" spans="1:5" ht="14.5" x14ac:dyDescent="0.35">
      <c r="A11" s="19" t="s">
        <v>43</v>
      </c>
      <c r="B11" s="16">
        <v>4334</v>
      </c>
      <c r="C11" s="16">
        <v>6629.5999999999995</v>
      </c>
      <c r="D11" s="16">
        <v>4314</v>
      </c>
      <c r="E11" s="16">
        <v>6629.5999999999995</v>
      </c>
    </row>
    <row r="12" spans="1:5" ht="14.5" x14ac:dyDescent="0.35">
      <c r="A12" s="20" t="s">
        <v>44</v>
      </c>
      <c r="B12" s="6">
        <v>4330.12</v>
      </c>
      <c r="C12" s="6">
        <v>6607.5</v>
      </c>
      <c r="D12" s="6">
        <v>4314.8500000000004</v>
      </c>
      <c r="E12" s="6">
        <v>6607.5</v>
      </c>
    </row>
    <row r="13" spans="1:5" ht="14.5" x14ac:dyDescent="0.35">
      <c r="A13" s="20" t="s">
        <v>46</v>
      </c>
      <c r="B13" s="6">
        <v>4330.12</v>
      </c>
      <c r="C13" s="6">
        <v>6609.6</v>
      </c>
      <c r="D13" s="6">
        <v>4314.8500000000004</v>
      </c>
      <c r="E13" s="6">
        <v>6609.6</v>
      </c>
    </row>
    <row r="14" spans="1:5" ht="14.5" x14ac:dyDescent="0.35">
      <c r="A14" s="20" t="s">
        <v>44</v>
      </c>
      <c r="B14" s="6">
        <v>4330.12</v>
      </c>
      <c r="C14" s="6">
        <v>6611.7000000000007</v>
      </c>
      <c r="D14" s="6">
        <v>4314.8500000000004</v>
      </c>
      <c r="E14" s="6">
        <v>6611.7000000000007</v>
      </c>
    </row>
    <row r="15" spans="1:5" ht="14.5" x14ac:dyDescent="0.35">
      <c r="A15" s="20" t="s">
        <v>46</v>
      </c>
      <c r="B15" s="6">
        <v>4330.12</v>
      </c>
      <c r="C15" s="6">
        <v>6613.8000000000011</v>
      </c>
      <c r="D15" s="6">
        <v>4314.8500000000004</v>
      </c>
      <c r="E15" s="6">
        <v>6613.8000000000011</v>
      </c>
    </row>
    <row r="16" spans="1:5" ht="14.5" x14ac:dyDescent="0.35">
      <c r="A16" s="20" t="s">
        <v>44</v>
      </c>
      <c r="B16" s="6">
        <v>4330.12</v>
      </c>
      <c r="C16" s="6">
        <v>6615.9000000000015</v>
      </c>
      <c r="D16" s="6">
        <v>4314.8500000000004</v>
      </c>
      <c r="E16" s="6">
        <v>6615.9000000000015</v>
      </c>
    </row>
    <row r="17" spans="1:5" ht="14.5" x14ac:dyDescent="0.35">
      <c r="A17" s="20" t="s">
        <v>46</v>
      </c>
      <c r="B17" s="6">
        <v>4330.12</v>
      </c>
      <c r="C17" s="6">
        <v>6618.0000000000018</v>
      </c>
      <c r="D17" s="6">
        <v>4314.8500000000004</v>
      </c>
      <c r="E17" s="6">
        <v>6618.0000000000018</v>
      </c>
    </row>
    <row r="18" spans="1:5" ht="15.75" customHeight="1" x14ac:dyDescent="0.35">
      <c r="A18" s="20" t="s">
        <v>44</v>
      </c>
      <c r="B18" s="6">
        <v>4330.12</v>
      </c>
      <c r="C18" s="6">
        <v>6620.1000000000022</v>
      </c>
      <c r="D18" s="6">
        <v>4314.8500000000004</v>
      </c>
      <c r="E18" s="6">
        <v>6620.1000000000022</v>
      </c>
    </row>
    <row r="19" spans="1:5" ht="15.75" customHeight="1" x14ac:dyDescent="0.35">
      <c r="A19" s="20" t="s">
        <v>46</v>
      </c>
      <c r="B19" s="6">
        <v>4330.12</v>
      </c>
      <c r="C19" s="6">
        <v>6622.2000000000025</v>
      </c>
      <c r="D19" s="6">
        <v>4314.8500000000004</v>
      </c>
      <c r="E19" s="6">
        <v>6622.2000000000025</v>
      </c>
    </row>
    <row r="20" spans="1:5" ht="15.75" customHeight="1" x14ac:dyDescent="0.35"/>
    <row r="21" spans="1:5" ht="15.75" customHeight="1" x14ac:dyDescent="0.35"/>
    <row r="22" spans="1:5" ht="15.75" customHeight="1" x14ac:dyDescent="0.35"/>
    <row r="23" spans="1:5" ht="15.75" customHeight="1" x14ac:dyDescent="0.35"/>
    <row r="24" spans="1:5" ht="15.75" customHeight="1" x14ac:dyDescent="0.35"/>
    <row r="25" spans="1:5" ht="15.75" customHeight="1" x14ac:dyDescent="0.35"/>
    <row r="26" spans="1:5" ht="15.75" customHeight="1" x14ac:dyDescent="0.35"/>
    <row r="27" spans="1:5" ht="15.75" customHeight="1" x14ac:dyDescent="0.35"/>
    <row r="28" spans="1:5" ht="15.75" customHeight="1" x14ac:dyDescent="0.35"/>
    <row r="29" spans="1:5" ht="15.75" customHeight="1" x14ac:dyDescent="0.35"/>
    <row r="30" spans="1:5" ht="15.75" customHeight="1" x14ac:dyDescent="0.35"/>
    <row r="31" spans="1:5" ht="15.75" customHeight="1" x14ac:dyDescent="0.35"/>
    <row r="32" spans="1:5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</sheetData>
  <sortState xmlns:xlrd2="http://schemas.microsoft.com/office/spreadsheetml/2017/richdata2" ref="B2:E19">
    <sortCondition descending="1" ref="C2:C19"/>
    <sortCondition descending="1" ref="B2:B19"/>
  </sortState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1000"/>
  <sheetViews>
    <sheetView workbookViewId="0">
      <selection activeCell="I37" sqref="I37"/>
    </sheetView>
  </sheetViews>
  <sheetFormatPr defaultColWidth="14.453125" defaultRowHeight="15" customHeight="1" x14ac:dyDescent="0.35"/>
  <cols>
    <col min="1" max="1" width="14.453125" customWidth="1"/>
    <col min="2" max="5" width="8.7265625" customWidth="1"/>
    <col min="6" max="6" width="10.26953125" customWidth="1"/>
    <col min="7" max="10" width="8.7265625" customWidth="1"/>
    <col min="11" max="11" width="16.1796875" customWidth="1"/>
    <col min="12" max="17" width="9.7265625" customWidth="1"/>
    <col min="18" max="39" width="8.7265625" customWidth="1"/>
  </cols>
  <sheetData>
    <row r="1" spans="1:39" ht="14.5" x14ac:dyDescent="0.35">
      <c r="A1" s="8" t="s">
        <v>15</v>
      </c>
      <c r="K1" s="8" t="s">
        <v>16</v>
      </c>
      <c r="U1" s="8" t="s">
        <v>17</v>
      </c>
      <c r="AE1" s="8" t="s">
        <v>18</v>
      </c>
    </row>
    <row r="2" spans="1:39" ht="14.5" x14ac:dyDescent="0.35">
      <c r="A2" s="6" t="s">
        <v>19</v>
      </c>
      <c r="B2" s="6">
        <v>4334</v>
      </c>
      <c r="K2" s="6" t="s">
        <v>20</v>
      </c>
      <c r="L2" s="6">
        <v>4314.8500000000004</v>
      </c>
      <c r="U2" s="6" t="s">
        <v>21</v>
      </c>
      <c r="V2" s="6">
        <v>4510</v>
      </c>
      <c r="W2" s="6">
        <v>6514</v>
      </c>
      <c r="X2" s="6">
        <v>4518.7</v>
      </c>
      <c r="Y2" s="6">
        <v>6449.5</v>
      </c>
      <c r="Z2" s="6">
        <f t="shared" ref="Z2" si="0">(LEFT(V2,2)+((RIGHT(V2,LEN(V2)-2))/60))</f>
        <v>45.166666666666664</v>
      </c>
      <c r="AA2" s="6">
        <f t="shared" ref="AA2" si="1">-(LEFT(W2,2)+((RIGHT(W2,LEN(W2)-2))/60))</f>
        <v>-65.233333333333334</v>
      </c>
      <c r="AB2" s="6">
        <f t="shared" ref="AB2" si="2">(LEFT(X2,2)+((RIGHT(X2,LEN(X2)-2))/60))</f>
        <v>45.311666666666667</v>
      </c>
      <c r="AC2" s="6">
        <f t="shared" ref="AC2" si="3">-(LEFT(Y2,2)+((RIGHT(Y2,LEN(Y2)-2))/60))</f>
        <v>-64.825000000000003</v>
      </c>
      <c r="AE2" s="6" t="s">
        <v>21</v>
      </c>
      <c r="AF2" s="6">
        <v>4516.12</v>
      </c>
      <c r="AG2" s="6">
        <v>6445.43</v>
      </c>
      <c r="AH2" s="6">
        <v>4519.7</v>
      </c>
      <c r="AI2" s="6">
        <v>6433</v>
      </c>
      <c r="AJ2" s="6">
        <f t="shared" ref="AJ2" si="4">(LEFT(AF2,2)+((RIGHT(AF2,LEN(AF2)-2))/60))</f>
        <v>45.268666666666668</v>
      </c>
      <c r="AK2" s="6">
        <f t="shared" ref="AK2" si="5">-(LEFT(AG2,2)+((RIGHT(AG2,LEN(AG2)-2))/60))</f>
        <v>-64.757166666666663</v>
      </c>
      <c r="AL2" s="6">
        <f t="shared" ref="AL2" si="6">(LEFT(AH2,2)+((RIGHT(AH2,LEN(AH2)-2))/60))</f>
        <v>45.328333333333333</v>
      </c>
      <c r="AM2" s="6">
        <f t="shared" ref="AM2" si="7">-(LEFT(AI2,2)+((RIGHT(AI2,LEN(AI2)-2))/60))</f>
        <v>-64.55</v>
      </c>
    </row>
    <row r="3" spans="1:39" ht="14.5" x14ac:dyDescent="0.35">
      <c r="A3" s="6" t="s">
        <v>22</v>
      </c>
      <c r="B3" s="6">
        <v>6607.5</v>
      </c>
      <c r="K3" s="6" t="s">
        <v>22</v>
      </c>
      <c r="L3" s="6">
        <v>6607.5</v>
      </c>
      <c r="U3" s="6" t="s">
        <v>23</v>
      </c>
      <c r="V3" s="8">
        <f>B4</f>
        <v>14</v>
      </c>
      <c r="X3" s="6">
        <f t="shared" ref="X3:X4" si="8">V3</f>
        <v>14</v>
      </c>
      <c r="AE3" s="6" t="s">
        <v>23</v>
      </c>
      <c r="AF3" s="6">
        <v>1</v>
      </c>
      <c r="AG3" s="6">
        <f>AF3</f>
        <v>1</v>
      </c>
      <c r="AH3" s="6">
        <f>AF3</f>
        <v>1</v>
      </c>
      <c r="AI3" s="6">
        <f>AF3</f>
        <v>1</v>
      </c>
    </row>
    <row r="4" spans="1:39" ht="14.5" x14ac:dyDescent="0.35">
      <c r="A4" s="6" t="s">
        <v>23</v>
      </c>
      <c r="B4" s="8">
        <f>'Data Entry'!B1</f>
        <v>14</v>
      </c>
      <c r="C4" s="5"/>
      <c r="D4" s="5"/>
      <c r="E4" s="5"/>
      <c r="F4" s="5"/>
      <c r="G4" s="5"/>
      <c r="H4" s="5"/>
      <c r="I4" s="5"/>
      <c r="J4" s="5"/>
      <c r="K4" s="6" t="s">
        <v>23</v>
      </c>
      <c r="L4" s="8">
        <f>B4</f>
        <v>14</v>
      </c>
      <c r="M4" s="5"/>
      <c r="N4" s="5"/>
      <c r="O4" s="5"/>
      <c r="P4" s="5"/>
      <c r="Q4" s="5"/>
      <c r="U4" s="6" t="s">
        <v>24</v>
      </c>
      <c r="V4" s="6">
        <f>V3*2</f>
        <v>28</v>
      </c>
      <c r="X4" s="6">
        <f t="shared" si="8"/>
        <v>28</v>
      </c>
      <c r="Y4" s="6">
        <f>X4</f>
        <v>28</v>
      </c>
      <c r="AE4" s="6" t="s">
        <v>24</v>
      </c>
      <c r="AF4" s="6">
        <f t="shared" ref="AF4:AI4" si="9">AF3*4</f>
        <v>4</v>
      </c>
      <c r="AG4" s="6">
        <f t="shared" si="9"/>
        <v>4</v>
      </c>
      <c r="AH4" s="6">
        <f t="shared" si="9"/>
        <v>4</v>
      </c>
      <c r="AI4" s="6">
        <f t="shared" si="9"/>
        <v>4</v>
      </c>
    </row>
    <row r="5" spans="1:39" ht="14.5" x14ac:dyDescent="0.35">
      <c r="A5" s="6" t="s">
        <v>24</v>
      </c>
      <c r="B5" s="6">
        <f>B4*2</f>
        <v>28</v>
      </c>
      <c r="F5" s="5"/>
      <c r="G5" s="5"/>
      <c r="H5" s="5"/>
      <c r="I5" s="5"/>
      <c r="J5" s="5"/>
      <c r="K5" s="6" t="s">
        <v>25</v>
      </c>
      <c r="L5" s="6">
        <f>(L48-L3)/(L4-1)</f>
        <v>0.4846153846153986</v>
      </c>
      <c r="P5" s="8" t="s">
        <v>26</v>
      </c>
      <c r="U5" s="6" t="s">
        <v>25</v>
      </c>
      <c r="V5" s="6">
        <f>(V2-V25)/(V4-1)</f>
        <v>0.28955555555556339</v>
      </c>
      <c r="X5" s="6">
        <f t="shared" ref="X5:Y5" si="10">(X2-X25)/(X4-1)</f>
        <v>0.212111111111106</v>
      </c>
      <c r="Y5" s="6">
        <f t="shared" si="10"/>
        <v>0.31985185185186749</v>
      </c>
      <c r="Z5" s="8" t="s">
        <v>26</v>
      </c>
      <c r="AE5" s="6" t="s">
        <v>25</v>
      </c>
      <c r="AF5" s="6">
        <f t="shared" ref="AF5:AH5" si="11">(AF2-AF11)/(AF4-1)</f>
        <v>0.88166666666650906</v>
      </c>
      <c r="AG5" s="6">
        <f t="shared" si="11"/>
        <v>1.3166666666669091</v>
      </c>
      <c r="AH5" s="6">
        <f t="shared" si="11"/>
        <v>1.2916666666666667</v>
      </c>
      <c r="AJ5" s="8" t="s">
        <v>26</v>
      </c>
    </row>
    <row r="6" spans="1:39" ht="14.5" x14ac:dyDescent="0.35">
      <c r="A6" s="6" t="s">
        <v>25</v>
      </c>
      <c r="B6" s="6">
        <f>(B48-B3)/(B5-1)</f>
        <v>0.81851851851853197</v>
      </c>
      <c r="F6" s="8" t="s">
        <v>26</v>
      </c>
      <c r="L6" s="6" t="s">
        <v>9</v>
      </c>
      <c r="N6" s="6" t="s">
        <v>8</v>
      </c>
      <c r="P6" s="6" t="s">
        <v>9</v>
      </c>
      <c r="R6" s="6" t="s">
        <v>8</v>
      </c>
      <c r="U6" s="6" t="s">
        <v>27</v>
      </c>
      <c r="V6" s="6" t="s">
        <v>9</v>
      </c>
      <c r="X6" s="6" t="s">
        <v>8</v>
      </c>
      <c r="Z6" s="6" t="s">
        <v>9</v>
      </c>
      <c r="AB6" s="6" t="s">
        <v>8</v>
      </c>
      <c r="AE6" s="6" t="s">
        <v>27</v>
      </c>
      <c r="AF6" s="6" t="s">
        <v>9</v>
      </c>
      <c r="AH6" s="6" t="s">
        <v>8</v>
      </c>
      <c r="AJ6" s="6" t="s">
        <v>9</v>
      </c>
      <c r="AL6" s="6" t="s">
        <v>8</v>
      </c>
    </row>
    <row r="7" spans="1:39" ht="14.5" x14ac:dyDescent="0.35">
      <c r="B7" s="6" t="s">
        <v>9</v>
      </c>
      <c r="D7" s="6" t="s">
        <v>8</v>
      </c>
      <c r="F7" s="6" t="s">
        <v>9</v>
      </c>
      <c r="H7" s="6" t="s">
        <v>8</v>
      </c>
      <c r="K7" s="6">
        <v>1</v>
      </c>
      <c r="L7" s="6">
        <v>4330.12</v>
      </c>
      <c r="M7" s="6">
        <f>L3</f>
        <v>6607.5</v>
      </c>
      <c r="N7" s="6">
        <v>4314.8500000000004</v>
      </c>
      <c r="O7" s="6">
        <f t="shared" ref="O7:O30" si="12">M7</f>
        <v>6607.5</v>
      </c>
      <c r="P7" s="6">
        <f t="shared" ref="P7:P46" si="13">(LEFT(L7,2)+((RIGHT(L7,LEN(L7)-2))/60))</f>
        <v>43.502000000000002</v>
      </c>
      <c r="Q7" s="6">
        <f t="shared" ref="Q7:Q46" si="14">-(LEFT(M7,2)+((RIGHT(M7,LEN(M7)-2))/60))</f>
        <v>-66.125</v>
      </c>
      <c r="R7" s="6">
        <f>(LEFT(N7,2)+((RIGHT(N7,LEN(N7)-2))/60))</f>
        <v>43.247500000000002</v>
      </c>
      <c r="S7" s="6">
        <f t="shared" ref="S7" si="15">Q7</f>
        <v>-66.125</v>
      </c>
      <c r="U7" s="6">
        <v>1</v>
      </c>
      <c r="V7" s="6">
        <f>V25</f>
        <v>4502.1819999999998</v>
      </c>
      <c r="W7" s="6">
        <v>6514</v>
      </c>
      <c r="X7" s="6">
        <f>X25</f>
        <v>4512.973</v>
      </c>
      <c r="Y7" s="6">
        <f>Y25</f>
        <v>6440.8639999999996</v>
      </c>
      <c r="Z7" s="6">
        <f t="shared" ref="Z7:Z25" si="16">(LEFT(V7,2)+((RIGHT(V7,LEN(V7)-2))/60))</f>
        <v>45.036366666666666</v>
      </c>
      <c r="AA7" s="6">
        <f t="shared" ref="AA7:AA25" si="17">-(LEFT(W7,2)+((RIGHT(W7,LEN(W7)-2))/60))</f>
        <v>-65.233333333333334</v>
      </c>
      <c r="AB7" s="6">
        <f t="shared" ref="AB7:AB25" si="18">(LEFT(X7,2)+((RIGHT(X7,LEN(X7)-2))/60))</f>
        <v>45.216216666666668</v>
      </c>
      <c r="AC7" s="6">
        <f t="shared" ref="AC7:AC25" si="19">-(LEFT(Y7,2)+((RIGHT(Y7,LEN(Y7)-2))/60))</f>
        <v>-64.681066666666666</v>
      </c>
      <c r="AE7" s="6">
        <v>1</v>
      </c>
      <c r="AF7" s="6">
        <f>AF11</f>
        <v>4513.4750000000004</v>
      </c>
      <c r="AG7" s="6">
        <f>AG11</f>
        <v>6441.48</v>
      </c>
      <c r="AH7" s="6">
        <f>AH11</f>
        <v>4515.8249999999998</v>
      </c>
      <c r="AI7" s="6">
        <v>6433</v>
      </c>
      <c r="AJ7" s="6">
        <f t="shared" ref="AJ7:AJ10" si="20">(LEFT(AF7,2)+((RIGHT(AF7,LEN(AF7)-2))/60))</f>
        <v>45.224583333333335</v>
      </c>
      <c r="AK7" s="6">
        <f t="shared" ref="AK7:AK10" si="21">-(LEFT(AG7,2)+((RIGHT(AG7,LEN(AG7)-2))/60))</f>
        <v>-64.691333333333333</v>
      </c>
      <c r="AL7" s="6">
        <f t="shared" ref="AL7:AL10" si="22">(LEFT(AH7,2)+((RIGHT(AH7,LEN(AH7)-2))/60))</f>
        <v>45.263750000000002</v>
      </c>
      <c r="AM7" s="6">
        <f t="shared" ref="AM7:AM10" si="23">-(LEFT(AI7,2)+((RIGHT(AI7,LEN(AI7)-2))/60))</f>
        <v>-64.55</v>
      </c>
    </row>
    <row r="8" spans="1:39" ht="14.5" x14ac:dyDescent="0.35">
      <c r="A8" s="6">
        <v>1</v>
      </c>
      <c r="B8" s="6">
        <v>4334</v>
      </c>
      <c r="C8" s="6">
        <f>B3</f>
        <v>6607.5</v>
      </c>
      <c r="D8" s="6">
        <v>4314</v>
      </c>
      <c r="E8" s="6">
        <f t="shared" ref="E8:E31" si="24">C8</f>
        <v>6607.5</v>
      </c>
      <c r="F8" s="6">
        <f t="shared" ref="F8:F31" si="25">(LEFT(B8,2)+((RIGHT(B8,LEN(B8)-2))/60))</f>
        <v>43.56666666666667</v>
      </c>
      <c r="G8" s="6">
        <f t="shared" ref="G8:G31" si="26">-(LEFT(C8,2)+((RIGHT(C8,LEN(C8)-2))/60))</f>
        <v>-66.125</v>
      </c>
      <c r="H8" s="6">
        <f>(LEFT(D8,2)+((RIGHT(D8,LEN(D8)-2))/60))</f>
        <v>43.233333333333334</v>
      </c>
      <c r="I8" s="6">
        <f t="shared" ref="I8" si="27">G8</f>
        <v>-66.125</v>
      </c>
      <c r="K8" s="6">
        <f t="shared" ref="K8:K30" si="28">K7+1</f>
        <v>2</v>
      </c>
      <c r="L8" s="6">
        <v>4330.12</v>
      </c>
      <c r="M8" s="6">
        <f>M7+L5</f>
        <v>6607.9846153846156</v>
      </c>
      <c r="N8" s="6">
        <v>4314.8500000000004</v>
      </c>
      <c r="O8" s="6">
        <f t="shared" si="12"/>
        <v>6607.9846153846156</v>
      </c>
      <c r="P8" s="6">
        <f t="shared" si="13"/>
        <v>43.502000000000002</v>
      </c>
      <c r="Q8" s="6">
        <f t="shared" si="14"/>
        <v>-66.133076923076999</v>
      </c>
      <c r="R8" s="6">
        <f t="shared" ref="R8:R46" si="29">(LEFT(N8,2)+((RIGHT(N8,LEN(N8)-2))/60))</f>
        <v>43.247500000000002</v>
      </c>
      <c r="S8" s="6">
        <f t="shared" ref="S8" si="30">Q8</f>
        <v>-66.133076923076999</v>
      </c>
      <c r="U8" s="6">
        <f t="shared" ref="U8:U24" si="31">U7+1</f>
        <v>2</v>
      </c>
      <c r="V8" s="6">
        <f>V7+$V5</f>
        <v>4502.4715555555549</v>
      </c>
      <c r="W8" s="6">
        <v>6514</v>
      </c>
      <c r="X8" s="6">
        <f t="shared" ref="X8:Y8" si="32">X7+X5</f>
        <v>4513.1851111111109</v>
      </c>
      <c r="Y8" s="6">
        <f t="shared" si="32"/>
        <v>6441.1838518518516</v>
      </c>
      <c r="Z8" s="6">
        <f t="shared" si="16"/>
        <v>45.041192592592502</v>
      </c>
      <c r="AA8" s="6">
        <f t="shared" si="17"/>
        <v>-65.233333333333334</v>
      </c>
      <c r="AB8" s="6">
        <f t="shared" si="18"/>
        <v>45.219751851851832</v>
      </c>
      <c r="AC8" s="6">
        <f t="shared" si="19"/>
        <v>-64.68639753086417</v>
      </c>
      <c r="AE8" s="6">
        <v>2</v>
      </c>
      <c r="AF8" s="6">
        <f t="shared" ref="AF8:AH8" si="33">AF7+AF5</f>
        <v>4514.3566666666666</v>
      </c>
      <c r="AG8" s="6">
        <f t="shared" si="33"/>
        <v>6442.7966666666662</v>
      </c>
      <c r="AH8" s="6">
        <f t="shared" si="33"/>
        <v>4517.1166666666668</v>
      </c>
      <c r="AI8" s="6">
        <v>6433</v>
      </c>
      <c r="AJ8" s="6">
        <f t="shared" si="20"/>
        <v>45.239277777777836</v>
      </c>
      <c r="AK8" s="6">
        <f t="shared" si="21"/>
        <v>-64.713277777777833</v>
      </c>
      <c r="AL8" s="6">
        <f t="shared" si="22"/>
        <v>45.285277777777836</v>
      </c>
      <c r="AM8" s="6">
        <f t="shared" si="23"/>
        <v>-64.55</v>
      </c>
    </row>
    <row r="9" spans="1:39" ht="14.5" x14ac:dyDescent="0.35">
      <c r="A9" s="6">
        <f t="shared" ref="A9:A47" si="34">A8+1</f>
        <v>2</v>
      </c>
      <c r="B9" s="6">
        <v>4334</v>
      </c>
      <c r="C9" s="6">
        <f>C8+B6</f>
        <v>6608.3185185185184</v>
      </c>
      <c r="D9" s="6">
        <v>4314</v>
      </c>
      <c r="E9" s="6">
        <f t="shared" si="24"/>
        <v>6608.3185185185184</v>
      </c>
      <c r="F9" s="6">
        <f t="shared" si="25"/>
        <v>43.56666666666667</v>
      </c>
      <c r="G9" s="6">
        <f t="shared" si="26"/>
        <v>-66.138641975308673</v>
      </c>
      <c r="H9" s="6">
        <f t="shared" ref="H9:H31" si="35">(LEFT(D9,2)+((RIGHT(D9,LEN(D9)-2))/60))</f>
        <v>43.233333333333334</v>
      </c>
      <c r="I9" s="6">
        <f t="shared" ref="I9" si="36">G9</f>
        <v>-66.138641975308673</v>
      </c>
      <c r="K9" s="6">
        <f t="shared" si="28"/>
        <v>3</v>
      </c>
      <c r="L9" s="6">
        <v>4330.12</v>
      </c>
      <c r="M9" s="6">
        <f>M8+L5</f>
        <v>6608.4692307692312</v>
      </c>
      <c r="N9" s="6">
        <v>4314.8500000000004</v>
      </c>
      <c r="O9" s="6">
        <f t="shared" si="12"/>
        <v>6608.4692307692312</v>
      </c>
      <c r="P9" s="6">
        <f t="shared" si="13"/>
        <v>43.502000000000002</v>
      </c>
      <c r="Q9" s="6">
        <f t="shared" si="14"/>
        <v>-66.141153846153827</v>
      </c>
      <c r="R9" s="6">
        <f t="shared" si="29"/>
        <v>43.247500000000002</v>
      </c>
      <c r="S9" s="6">
        <f t="shared" ref="S9" si="37">Q9</f>
        <v>-66.141153846153827</v>
      </c>
      <c r="U9" s="6">
        <f t="shared" si="31"/>
        <v>3</v>
      </c>
      <c r="V9" s="6">
        <f>V8+$V5</f>
        <v>4502.76111111111</v>
      </c>
      <c r="W9" s="6">
        <v>6514</v>
      </c>
      <c r="X9" s="6">
        <f t="shared" ref="X9:Y9" si="38">X8+X5</f>
        <v>4513.3972222222219</v>
      </c>
      <c r="Y9" s="6">
        <f t="shared" si="38"/>
        <v>6441.5037037037036</v>
      </c>
      <c r="Z9" s="6">
        <f t="shared" si="16"/>
        <v>45.046018518518501</v>
      </c>
      <c r="AA9" s="6">
        <f t="shared" si="17"/>
        <v>-65.233333333333334</v>
      </c>
      <c r="AB9" s="6">
        <f t="shared" si="18"/>
        <v>45.223287037036997</v>
      </c>
      <c r="AC9" s="6">
        <f t="shared" si="19"/>
        <v>-64.691728395061673</v>
      </c>
      <c r="AE9" s="6">
        <v>3</v>
      </c>
      <c r="AF9" s="6">
        <f t="shared" ref="AF9:AH9" si="39">AF8+AF5</f>
        <v>4515.2383333333328</v>
      </c>
      <c r="AG9" s="6">
        <f t="shared" si="39"/>
        <v>6444.1133333333328</v>
      </c>
      <c r="AH9" s="6">
        <f t="shared" si="39"/>
        <v>4518.4083333333338</v>
      </c>
      <c r="AI9" s="6">
        <v>6433</v>
      </c>
      <c r="AJ9" s="6">
        <f t="shared" si="20"/>
        <v>45.253972222222167</v>
      </c>
      <c r="AK9" s="6">
        <f t="shared" si="21"/>
        <v>-64.735222222222163</v>
      </c>
      <c r="AL9" s="6">
        <f t="shared" si="22"/>
        <v>45.306805555555499</v>
      </c>
      <c r="AM9" s="6">
        <f t="shared" si="23"/>
        <v>-64.55</v>
      </c>
    </row>
    <row r="10" spans="1:39" ht="14.5" x14ac:dyDescent="0.35">
      <c r="A10" s="6">
        <f t="shared" si="34"/>
        <v>3</v>
      </c>
      <c r="B10" s="6">
        <v>4334</v>
      </c>
      <c r="C10" s="6">
        <f>C9+B6</f>
        <v>6609.1370370370369</v>
      </c>
      <c r="D10" s="6">
        <v>4314</v>
      </c>
      <c r="E10" s="6">
        <f t="shared" si="24"/>
        <v>6609.1370370370369</v>
      </c>
      <c r="F10" s="6">
        <f t="shared" si="25"/>
        <v>43.56666666666667</v>
      </c>
      <c r="G10" s="6">
        <f t="shared" si="26"/>
        <v>-66.152283950617331</v>
      </c>
      <c r="H10" s="6">
        <f t="shared" si="35"/>
        <v>43.233333333333334</v>
      </c>
      <c r="I10" s="6">
        <f t="shared" ref="I10" si="40">G10</f>
        <v>-66.152283950617331</v>
      </c>
      <c r="K10" s="6">
        <f t="shared" si="28"/>
        <v>4</v>
      </c>
      <c r="L10" s="6">
        <v>4330.12</v>
      </c>
      <c r="M10" s="6">
        <f>M9+L5</f>
        <v>6608.9538461538468</v>
      </c>
      <c r="N10" s="6">
        <v>4314.8500000000004</v>
      </c>
      <c r="O10" s="6">
        <f t="shared" si="12"/>
        <v>6608.9538461538468</v>
      </c>
      <c r="P10" s="6">
        <f t="shared" si="13"/>
        <v>43.502000000000002</v>
      </c>
      <c r="Q10" s="6">
        <f t="shared" si="14"/>
        <v>-66.14923076923084</v>
      </c>
      <c r="R10" s="6">
        <f t="shared" si="29"/>
        <v>43.247500000000002</v>
      </c>
      <c r="S10" s="6">
        <f t="shared" ref="S10" si="41">Q10</f>
        <v>-66.14923076923084</v>
      </c>
      <c r="U10" s="6">
        <f t="shared" si="31"/>
        <v>4</v>
      </c>
      <c r="V10" s="6">
        <f>V9+$V5</f>
        <v>4503.0506666666652</v>
      </c>
      <c r="W10" s="6">
        <v>6514</v>
      </c>
      <c r="X10" s="6">
        <f t="shared" ref="X10:Y10" si="42">X9+X5</f>
        <v>4513.6093333333329</v>
      </c>
      <c r="Y10" s="6">
        <f t="shared" si="42"/>
        <v>6441.8235555555557</v>
      </c>
      <c r="Z10" s="6">
        <f t="shared" si="16"/>
        <v>45.0508444444445</v>
      </c>
      <c r="AA10" s="6">
        <f t="shared" si="17"/>
        <v>-65.233333333333334</v>
      </c>
      <c r="AB10" s="6">
        <f t="shared" si="18"/>
        <v>45.226822222222168</v>
      </c>
      <c r="AC10" s="6">
        <f t="shared" si="19"/>
        <v>-64.697059259259333</v>
      </c>
      <c r="AE10" s="6">
        <v>4</v>
      </c>
      <c r="AF10" s="6">
        <f t="shared" ref="AF10:AH10" si="43">AF9+AF5</f>
        <v>4516.119999999999</v>
      </c>
      <c r="AG10" s="6">
        <f t="shared" si="43"/>
        <v>6445.4299999999994</v>
      </c>
      <c r="AH10" s="6">
        <f t="shared" si="43"/>
        <v>4519.7000000000007</v>
      </c>
      <c r="AI10" s="6">
        <v>6433</v>
      </c>
      <c r="AJ10" s="6">
        <f t="shared" si="20"/>
        <v>45.268666666666668</v>
      </c>
      <c r="AK10" s="6">
        <f t="shared" si="21"/>
        <v>-64.757166666666663</v>
      </c>
      <c r="AL10" s="6">
        <f t="shared" si="22"/>
        <v>45.328333333333333</v>
      </c>
      <c r="AM10" s="6">
        <f t="shared" si="23"/>
        <v>-64.55</v>
      </c>
    </row>
    <row r="11" spans="1:39" ht="14.5" x14ac:dyDescent="0.35">
      <c r="A11" s="6">
        <f t="shared" si="34"/>
        <v>4</v>
      </c>
      <c r="B11" s="6">
        <v>4334</v>
      </c>
      <c r="C11" s="6">
        <f>C10+B6</f>
        <v>6609.9555555555553</v>
      </c>
      <c r="D11" s="6">
        <v>4314</v>
      </c>
      <c r="E11" s="6">
        <f t="shared" si="24"/>
        <v>6609.9555555555553</v>
      </c>
      <c r="F11" s="6">
        <f t="shared" si="25"/>
        <v>43.56666666666667</v>
      </c>
      <c r="G11" s="6">
        <f t="shared" si="26"/>
        <v>-66.165925925926004</v>
      </c>
      <c r="H11" s="6">
        <f t="shared" si="35"/>
        <v>43.233333333333334</v>
      </c>
      <c r="I11" s="6">
        <f t="shared" ref="I11" si="44">G11</f>
        <v>-66.165925925926004</v>
      </c>
      <c r="K11" s="6">
        <f t="shared" si="28"/>
        <v>5</v>
      </c>
      <c r="L11" s="6">
        <v>4330.12</v>
      </c>
      <c r="M11" s="6">
        <f>M10+L5</f>
        <v>6609.4384615384624</v>
      </c>
      <c r="N11" s="6">
        <v>4314.8500000000004</v>
      </c>
      <c r="O11" s="6">
        <f t="shared" si="12"/>
        <v>6609.4384615384624</v>
      </c>
      <c r="P11" s="6">
        <f t="shared" si="13"/>
        <v>43.502000000000002</v>
      </c>
      <c r="Q11" s="6">
        <f t="shared" si="14"/>
        <v>-66.157307692307668</v>
      </c>
      <c r="R11" s="6">
        <f t="shared" si="29"/>
        <v>43.247500000000002</v>
      </c>
      <c r="S11" s="6">
        <f t="shared" ref="S11" si="45">Q11</f>
        <v>-66.157307692307668</v>
      </c>
      <c r="U11" s="6">
        <f t="shared" si="31"/>
        <v>5</v>
      </c>
      <c r="V11" s="6">
        <f>V10+$V5</f>
        <v>4503.3402222222203</v>
      </c>
      <c r="W11" s="6">
        <v>6514</v>
      </c>
      <c r="X11" s="6">
        <f t="shared" ref="X11:Y11" si="46">X10+X5</f>
        <v>4513.8214444444438</v>
      </c>
      <c r="Y11" s="6">
        <f t="shared" si="46"/>
        <v>6442.1434074074077</v>
      </c>
      <c r="Z11" s="6">
        <f t="shared" si="16"/>
        <v>45.055670370370336</v>
      </c>
      <c r="AA11" s="6">
        <f t="shared" si="17"/>
        <v>-65.233333333333334</v>
      </c>
      <c r="AB11" s="6">
        <f t="shared" si="18"/>
        <v>45.230357407407332</v>
      </c>
      <c r="AC11" s="6">
        <f t="shared" si="19"/>
        <v>-64.702390123456837</v>
      </c>
      <c r="AE11" s="6" t="s">
        <v>28</v>
      </c>
      <c r="AF11" s="6">
        <v>4513.4750000000004</v>
      </c>
      <c r="AG11" s="6">
        <v>6441.48</v>
      </c>
      <c r="AH11" s="6">
        <v>4515.8249999999998</v>
      </c>
      <c r="AI11" s="6">
        <v>6433</v>
      </c>
      <c r="AJ11" s="6">
        <f t="shared" ref="AJ11" si="47">(LEFT(AF11,2)+((RIGHT(AF11,LEN(AF11)-2))/60))</f>
        <v>45.224583333333335</v>
      </c>
      <c r="AK11" s="6">
        <f t="shared" ref="AK11" si="48">-(LEFT(AG11,2)+((RIGHT(AG11,LEN(AG11)-2))/60))</f>
        <v>-64.691333333333333</v>
      </c>
      <c r="AL11" s="6">
        <f t="shared" ref="AL11" si="49">(LEFT(AH11,2)+((RIGHT(AH11,LEN(AH11)-2))/60))</f>
        <v>45.263750000000002</v>
      </c>
      <c r="AM11" s="6">
        <f t="shared" ref="AM11" si="50">-(LEFT(AI11,2)+((RIGHT(AI11,LEN(AI11)-2))/60))</f>
        <v>-64.55</v>
      </c>
    </row>
    <row r="12" spans="1:39" ht="14.5" x14ac:dyDescent="0.35">
      <c r="A12" s="6">
        <f t="shared" si="34"/>
        <v>5</v>
      </c>
      <c r="B12" s="6">
        <v>4334</v>
      </c>
      <c r="C12" s="6">
        <f>C11+B6</f>
        <v>6610.7740740740737</v>
      </c>
      <c r="D12" s="6">
        <v>4314</v>
      </c>
      <c r="E12" s="6">
        <f t="shared" si="24"/>
        <v>6610.7740740740737</v>
      </c>
      <c r="F12" s="6">
        <f t="shared" si="25"/>
        <v>43.56666666666667</v>
      </c>
      <c r="G12" s="6">
        <f t="shared" si="26"/>
        <v>-66.179567901234506</v>
      </c>
      <c r="H12" s="6">
        <f t="shared" si="35"/>
        <v>43.233333333333334</v>
      </c>
      <c r="I12" s="6">
        <f t="shared" ref="I12" si="51">G12</f>
        <v>-66.179567901234506</v>
      </c>
      <c r="K12" s="6">
        <f t="shared" si="28"/>
        <v>6</v>
      </c>
      <c r="L12" s="6">
        <v>4330.12</v>
      </c>
      <c r="M12" s="6">
        <f>M11+L5</f>
        <v>6609.923076923078</v>
      </c>
      <c r="N12" s="6">
        <v>4314.8500000000004</v>
      </c>
      <c r="O12" s="6">
        <f t="shared" si="12"/>
        <v>6609.923076923078</v>
      </c>
      <c r="P12" s="6">
        <f t="shared" si="13"/>
        <v>43.502000000000002</v>
      </c>
      <c r="Q12" s="6">
        <f t="shared" si="14"/>
        <v>-66.165384615384667</v>
      </c>
      <c r="R12" s="6">
        <f t="shared" si="29"/>
        <v>43.247500000000002</v>
      </c>
      <c r="S12" s="6">
        <f t="shared" ref="S12" si="52">Q12</f>
        <v>-66.165384615384667</v>
      </c>
      <c r="U12" s="6">
        <f t="shared" si="31"/>
        <v>6</v>
      </c>
      <c r="V12" s="6">
        <f>V11+$V5</f>
        <v>4503.6297777777754</v>
      </c>
      <c r="W12" s="6">
        <v>6514</v>
      </c>
      <c r="X12" s="6">
        <f t="shared" ref="X12:Y12" si="53">X11+X5</f>
        <v>4514.0335555555548</v>
      </c>
      <c r="Y12" s="6">
        <f t="shared" si="53"/>
        <v>6442.4632592592598</v>
      </c>
      <c r="Z12" s="6">
        <f t="shared" si="16"/>
        <v>45.060496296296336</v>
      </c>
      <c r="AA12" s="6">
        <f t="shared" si="17"/>
        <v>-65.233333333333334</v>
      </c>
      <c r="AB12" s="6">
        <f t="shared" si="18"/>
        <v>45.233892592592497</v>
      </c>
      <c r="AC12" s="6">
        <f t="shared" si="19"/>
        <v>-64.707720987654326</v>
      </c>
    </row>
    <row r="13" spans="1:39" ht="14.5" x14ac:dyDescent="0.35">
      <c r="A13" s="6">
        <f t="shared" si="34"/>
        <v>6</v>
      </c>
      <c r="B13" s="6">
        <v>4334</v>
      </c>
      <c r="C13" s="6">
        <f>C12+B6</f>
        <v>6611.5925925925922</v>
      </c>
      <c r="D13" s="6">
        <v>4314</v>
      </c>
      <c r="E13" s="6">
        <f t="shared" si="24"/>
        <v>6611.5925925925922</v>
      </c>
      <c r="F13" s="6">
        <f t="shared" si="25"/>
        <v>43.56666666666667</v>
      </c>
      <c r="G13" s="6">
        <f t="shared" si="26"/>
        <v>-66.193209876543165</v>
      </c>
      <c r="H13" s="6">
        <f t="shared" si="35"/>
        <v>43.233333333333334</v>
      </c>
      <c r="I13" s="6">
        <f t="shared" ref="I13" si="54">G13</f>
        <v>-66.193209876543165</v>
      </c>
      <c r="K13" s="6">
        <f t="shared" si="28"/>
        <v>7</v>
      </c>
      <c r="L13" s="6">
        <v>4330.12</v>
      </c>
      <c r="M13" s="6">
        <f>M12+L5</f>
        <v>6610.4076923076937</v>
      </c>
      <c r="N13" s="6">
        <v>4314.8500000000004</v>
      </c>
      <c r="O13" s="6">
        <f t="shared" si="12"/>
        <v>6610.4076923076937</v>
      </c>
      <c r="P13" s="6">
        <f t="shared" si="13"/>
        <v>43.502000000000002</v>
      </c>
      <c r="Q13" s="6">
        <f t="shared" si="14"/>
        <v>-66.173461538461495</v>
      </c>
      <c r="R13" s="6">
        <f t="shared" si="29"/>
        <v>43.247500000000002</v>
      </c>
      <c r="S13" s="6">
        <f t="shared" ref="S13" si="55">Q13</f>
        <v>-66.173461538461495</v>
      </c>
      <c r="U13" s="6">
        <f t="shared" si="31"/>
        <v>7</v>
      </c>
      <c r="V13" s="6">
        <f>V12+$V5</f>
        <v>4503.9193333333305</v>
      </c>
      <c r="W13" s="6">
        <v>6514</v>
      </c>
      <c r="X13" s="6">
        <f t="shared" ref="X13:Y13" si="56">X12+X5</f>
        <v>4514.2456666666658</v>
      </c>
      <c r="Y13" s="6">
        <f t="shared" si="56"/>
        <v>6442.7831111111118</v>
      </c>
      <c r="Z13" s="6">
        <f t="shared" si="16"/>
        <v>45.065322222222164</v>
      </c>
      <c r="AA13" s="6">
        <f t="shared" si="17"/>
        <v>-65.233333333333334</v>
      </c>
      <c r="AB13" s="6">
        <f t="shared" si="18"/>
        <v>45.237427777777832</v>
      </c>
      <c r="AC13" s="6">
        <f t="shared" si="19"/>
        <v>-64.71305185185183</v>
      </c>
      <c r="AE13" s="8" t="s">
        <v>29</v>
      </c>
    </row>
    <row r="14" spans="1:39" ht="14.5" x14ac:dyDescent="0.35">
      <c r="A14" s="6">
        <f t="shared" si="34"/>
        <v>7</v>
      </c>
      <c r="B14" s="6">
        <v>4334</v>
      </c>
      <c r="C14" s="6">
        <f>C13+B6</f>
        <v>6612.4111111111106</v>
      </c>
      <c r="D14" s="6">
        <v>4314</v>
      </c>
      <c r="E14" s="6">
        <f t="shared" si="24"/>
        <v>6612.4111111111106</v>
      </c>
      <c r="F14" s="6">
        <f t="shared" si="25"/>
        <v>43.56666666666667</v>
      </c>
      <c r="G14" s="6">
        <f t="shared" si="26"/>
        <v>-66.206851851851837</v>
      </c>
      <c r="H14" s="6">
        <f t="shared" si="35"/>
        <v>43.233333333333334</v>
      </c>
      <c r="I14" s="6">
        <f t="shared" ref="I14" si="57">G14</f>
        <v>-66.206851851851837</v>
      </c>
      <c r="K14" s="6">
        <f t="shared" si="28"/>
        <v>8</v>
      </c>
      <c r="L14" s="6">
        <v>4330.12</v>
      </c>
      <c r="M14" s="6">
        <f>M13+L5</f>
        <v>6610.8923076923093</v>
      </c>
      <c r="N14" s="6">
        <v>4314.8500000000004</v>
      </c>
      <c r="O14" s="6">
        <f t="shared" si="12"/>
        <v>6610.8923076923093</v>
      </c>
      <c r="P14" s="6">
        <f t="shared" si="13"/>
        <v>43.502000000000002</v>
      </c>
      <c r="Q14" s="6">
        <f t="shared" si="14"/>
        <v>-66.181538461538494</v>
      </c>
      <c r="R14" s="6">
        <f t="shared" si="29"/>
        <v>43.247500000000002</v>
      </c>
      <c r="S14" s="6">
        <f t="shared" ref="S14" si="58">Q14</f>
        <v>-66.181538461538494</v>
      </c>
      <c r="U14" s="6">
        <f t="shared" si="31"/>
        <v>8</v>
      </c>
      <c r="V14" s="6">
        <f>V13+$V5</f>
        <v>4504.2088888888857</v>
      </c>
      <c r="W14" s="6">
        <v>6514</v>
      </c>
      <c r="X14" s="6">
        <f t="shared" ref="X14:Y14" si="59">X13+X5</f>
        <v>4514.4577777777768</v>
      </c>
      <c r="Y14" s="6">
        <f t="shared" si="59"/>
        <v>6443.1029629629638</v>
      </c>
      <c r="Z14" s="6">
        <f t="shared" si="16"/>
        <v>45.070148148148164</v>
      </c>
      <c r="AA14" s="6">
        <f t="shared" si="17"/>
        <v>-65.233333333333334</v>
      </c>
      <c r="AB14" s="6">
        <f t="shared" si="18"/>
        <v>45.240962962963003</v>
      </c>
      <c r="AC14" s="6">
        <f t="shared" si="19"/>
        <v>-64.718382716049334</v>
      </c>
      <c r="AE14" s="6" t="s">
        <v>21</v>
      </c>
      <c r="AF14" s="6">
        <v>4517.2759939999996</v>
      </c>
      <c r="AG14" s="6">
        <v>6503.107994</v>
      </c>
      <c r="AH14" s="6">
        <v>4520.348</v>
      </c>
      <c r="AI14" s="6">
        <v>6452.4799940000003</v>
      </c>
      <c r="AJ14" s="6">
        <v>45.290999999999997</v>
      </c>
      <c r="AK14" s="6">
        <v>-65.052999999999997</v>
      </c>
      <c r="AL14" s="6">
        <v>45.343000000000004</v>
      </c>
      <c r="AM14" s="6">
        <v>-64.88</v>
      </c>
    </row>
    <row r="15" spans="1:39" ht="14.5" x14ac:dyDescent="0.35">
      <c r="A15" s="6">
        <f t="shared" si="34"/>
        <v>8</v>
      </c>
      <c r="B15" s="6">
        <v>4334</v>
      </c>
      <c r="C15" s="6">
        <f>C14+B6</f>
        <v>6613.229629629629</v>
      </c>
      <c r="D15" s="6">
        <v>4314</v>
      </c>
      <c r="E15" s="6">
        <f t="shared" si="24"/>
        <v>6613.229629629629</v>
      </c>
      <c r="F15" s="6">
        <f t="shared" si="25"/>
        <v>43.56666666666667</v>
      </c>
      <c r="G15" s="6">
        <f t="shared" si="26"/>
        <v>-66.220493827160496</v>
      </c>
      <c r="H15" s="6">
        <f t="shared" si="35"/>
        <v>43.233333333333334</v>
      </c>
      <c r="I15" s="6">
        <f t="shared" ref="I15" si="60">G15</f>
        <v>-66.220493827160496</v>
      </c>
      <c r="K15" s="6">
        <f t="shared" si="28"/>
        <v>9</v>
      </c>
      <c r="L15" s="6">
        <v>4330.12</v>
      </c>
      <c r="M15" s="6">
        <f>M14+L5</f>
        <v>6611.3769230769249</v>
      </c>
      <c r="N15" s="6">
        <v>4314.8500000000004</v>
      </c>
      <c r="O15" s="6">
        <f t="shared" si="12"/>
        <v>6611.3769230769249</v>
      </c>
      <c r="P15" s="6">
        <f t="shared" si="13"/>
        <v>43.502000000000002</v>
      </c>
      <c r="Q15" s="6">
        <f t="shared" si="14"/>
        <v>-66.189615384615337</v>
      </c>
      <c r="R15" s="6">
        <f t="shared" si="29"/>
        <v>43.247500000000002</v>
      </c>
      <c r="S15" s="6">
        <f t="shared" ref="S15" si="61">Q15</f>
        <v>-66.189615384615337</v>
      </c>
      <c r="U15" s="6">
        <f t="shared" si="31"/>
        <v>9</v>
      </c>
      <c r="V15" s="6">
        <f>V14+$V5</f>
        <v>4504.4984444444408</v>
      </c>
      <c r="W15" s="6">
        <v>6514</v>
      </c>
      <c r="X15" s="6">
        <f t="shared" ref="X15:Y15" si="62">X14+X5</f>
        <v>4514.6698888888877</v>
      </c>
      <c r="Y15" s="6">
        <f t="shared" si="62"/>
        <v>6443.4228148148159</v>
      </c>
      <c r="Z15" s="6">
        <f t="shared" si="16"/>
        <v>45.074974074073999</v>
      </c>
      <c r="AA15" s="6">
        <f t="shared" si="17"/>
        <v>-65.233333333333334</v>
      </c>
      <c r="AB15" s="6">
        <f t="shared" si="18"/>
        <v>45.244498148148168</v>
      </c>
      <c r="AC15" s="6">
        <f t="shared" si="19"/>
        <v>-64.723713580246994</v>
      </c>
      <c r="AE15" s="6" t="s">
        <v>23</v>
      </c>
      <c r="AF15" s="6">
        <v>1</v>
      </c>
      <c r="AH15" s="6">
        <f>AF15</f>
        <v>1</v>
      </c>
      <c r="AI15" s="6">
        <f>AF15</f>
        <v>1</v>
      </c>
      <c r="AJ15" s="8" t="s">
        <v>26</v>
      </c>
    </row>
    <row r="16" spans="1:39" ht="14.5" x14ac:dyDescent="0.35">
      <c r="A16" s="6">
        <f t="shared" si="34"/>
        <v>9</v>
      </c>
      <c r="B16" s="6">
        <v>4334</v>
      </c>
      <c r="C16" s="6">
        <f>C15+B6</f>
        <v>6614.0481481481474</v>
      </c>
      <c r="D16" s="6">
        <v>4314</v>
      </c>
      <c r="E16" s="6">
        <f t="shared" si="24"/>
        <v>6614.0481481481474</v>
      </c>
      <c r="F16" s="6">
        <f t="shared" si="25"/>
        <v>43.56666666666667</v>
      </c>
      <c r="G16" s="6">
        <f t="shared" si="26"/>
        <v>-66.234135802469169</v>
      </c>
      <c r="H16" s="6">
        <f t="shared" si="35"/>
        <v>43.233333333333334</v>
      </c>
      <c r="I16" s="6">
        <f t="shared" ref="I16" si="63">G16</f>
        <v>-66.234135802469169</v>
      </c>
      <c r="K16" s="6">
        <f t="shared" si="28"/>
        <v>10</v>
      </c>
      <c r="L16" s="6">
        <v>4330.12</v>
      </c>
      <c r="M16" s="6">
        <f>M15+L5</f>
        <v>6611.8615384615405</v>
      </c>
      <c r="N16" s="6">
        <v>4314.8500000000004</v>
      </c>
      <c r="O16" s="6">
        <f t="shared" si="12"/>
        <v>6611.8615384615405</v>
      </c>
      <c r="P16" s="6">
        <f t="shared" si="13"/>
        <v>43.502000000000002</v>
      </c>
      <c r="Q16" s="6">
        <f t="shared" si="14"/>
        <v>-66.197692307692336</v>
      </c>
      <c r="R16" s="6">
        <f t="shared" si="29"/>
        <v>43.247500000000002</v>
      </c>
      <c r="S16" s="6">
        <f t="shared" ref="S16" si="64">Q16</f>
        <v>-66.197692307692336</v>
      </c>
      <c r="U16" s="6">
        <f t="shared" si="31"/>
        <v>10</v>
      </c>
      <c r="V16" s="6">
        <f>V15+$V5</f>
        <v>4504.7879999999959</v>
      </c>
      <c r="W16" s="6">
        <v>6514</v>
      </c>
      <c r="X16" s="6">
        <f t="shared" ref="X16:Y16" si="65">X15+X5</f>
        <v>4514.8819999999987</v>
      </c>
      <c r="Y16" s="6">
        <f t="shared" si="65"/>
        <v>6443.7426666666679</v>
      </c>
      <c r="Z16" s="6">
        <f t="shared" si="16"/>
        <v>45.079799999999999</v>
      </c>
      <c r="AA16" s="6">
        <f t="shared" si="17"/>
        <v>-65.233333333333334</v>
      </c>
      <c r="AB16" s="6">
        <f t="shared" si="18"/>
        <v>45.248033333333332</v>
      </c>
      <c r="AC16" s="6">
        <f t="shared" si="19"/>
        <v>-64.729044444444497</v>
      </c>
      <c r="AE16" s="6" t="s">
        <v>24</v>
      </c>
      <c r="AF16" s="6">
        <f>AF15*4</f>
        <v>4</v>
      </c>
      <c r="AH16" s="6">
        <f t="shared" ref="AH16:AI16" si="66">AH15*4</f>
        <v>4</v>
      </c>
      <c r="AI16" s="6">
        <f t="shared" si="66"/>
        <v>4</v>
      </c>
      <c r="AJ16">
        <v>4</v>
      </c>
      <c r="AL16">
        <v>4</v>
      </c>
      <c r="AM16">
        <v>4</v>
      </c>
    </row>
    <row r="17" spans="1:39" ht="14.5" x14ac:dyDescent="0.35">
      <c r="A17" s="6">
        <f t="shared" si="34"/>
        <v>10</v>
      </c>
      <c r="B17" s="6">
        <v>4334</v>
      </c>
      <c r="C17" s="6">
        <f>C16+B6</f>
        <v>6614.8666666666659</v>
      </c>
      <c r="D17" s="6">
        <v>4314</v>
      </c>
      <c r="E17" s="6">
        <f t="shared" si="24"/>
        <v>6614.8666666666659</v>
      </c>
      <c r="F17" s="6">
        <f t="shared" si="25"/>
        <v>43.56666666666667</v>
      </c>
      <c r="G17" s="6">
        <f t="shared" si="26"/>
        <v>-66.247777777777827</v>
      </c>
      <c r="H17" s="6">
        <f t="shared" si="35"/>
        <v>43.233333333333334</v>
      </c>
      <c r="I17" s="6">
        <f t="shared" ref="I17" si="67">G17</f>
        <v>-66.247777777777827</v>
      </c>
      <c r="K17" s="6">
        <f t="shared" si="28"/>
        <v>11</v>
      </c>
      <c r="L17" s="6">
        <v>4330.12</v>
      </c>
      <c r="M17" s="6">
        <f>M16+L5</f>
        <v>6612.3461538461561</v>
      </c>
      <c r="N17" s="6">
        <v>4314.8500000000004</v>
      </c>
      <c r="O17" s="6">
        <f t="shared" si="12"/>
        <v>6612.3461538461561</v>
      </c>
      <c r="P17" s="6">
        <f t="shared" si="13"/>
        <v>43.502000000000002</v>
      </c>
      <c r="Q17" s="6">
        <f t="shared" si="14"/>
        <v>-66.205769230769334</v>
      </c>
      <c r="R17" s="6">
        <f t="shared" si="29"/>
        <v>43.247500000000002</v>
      </c>
      <c r="S17" s="6">
        <f t="shared" ref="S17" si="68">Q17</f>
        <v>-66.205769230769334</v>
      </c>
      <c r="U17" s="6">
        <f t="shared" si="31"/>
        <v>11</v>
      </c>
      <c r="V17" s="6">
        <f>V16+$V5</f>
        <v>4505.077555555551</v>
      </c>
      <c r="W17" s="6">
        <v>6514</v>
      </c>
      <c r="X17" s="6">
        <f t="shared" ref="X17:Y17" si="69">X16+X5</f>
        <v>4515.0941111111097</v>
      </c>
      <c r="Y17" s="6">
        <f t="shared" si="69"/>
        <v>6444.0625185185199</v>
      </c>
      <c r="Z17" s="6">
        <f t="shared" si="16"/>
        <v>45.084625925925835</v>
      </c>
      <c r="AA17" s="6">
        <f t="shared" si="17"/>
        <v>-65.233333333333334</v>
      </c>
      <c r="AB17" s="6">
        <f t="shared" si="18"/>
        <v>45.251568518518503</v>
      </c>
      <c r="AC17" s="6">
        <f t="shared" si="19"/>
        <v>-64.734375308642001</v>
      </c>
      <c r="AE17" s="6" t="s">
        <v>25</v>
      </c>
      <c r="AF17" s="6">
        <f>(AF14-AF23)/(AF16-1)</f>
        <v>0.95199999999992235</v>
      </c>
      <c r="AH17" s="6">
        <f>(AH14-AH23)/(AH16-1)</f>
        <v>0.60266866666673502</v>
      </c>
      <c r="AI17" s="6">
        <f>(AI14-AI23)/(AI16-1)</f>
        <v>1.023997999999968</v>
      </c>
      <c r="AJ17" s="6">
        <f>(AJ14-AJ23)/(AJ16-1)</f>
        <v>1.5333333333333124E-2</v>
      </c>
      <c r="AL17" s="6">
        <f>(AL14-AL23)/(AL16-1)</f>
        <v>9.3333333333352666E-3</v>
      </c>
      <c r="AM17" s="6">
        <f>-(AM23-AM14)/(AM16-1)</f>
        <v>-1.7333333333330831E-2</v>
      </c>
    </row>
    <row r="18" spans="1:39" ht="14.5" x14ac:dyDescent="0.35">
      <c r="A18" s="6">
        <f t="shared" si="34"/>
        <v>11</v>
      </c>
      <c r="B18" s="6">
        <v>4334</v>
      </c>
      <c r="C18" s="6">
        <f>C17+B6</f>
        <v>6615.6851851851843</v>
      </c>
      <c r="D18" s="6">
        <v>4314</v>
      </c>
      <c r="E18" s="6">
        <f t="shared" si="24"/>
        <v>6615.6851851851843</v>
      </c>
      <c r="F18" s="6">
        <f t="shared" si="25"/>
        <v>43.56666666666667</v>
      </c>
      <c r="G18" s="6">
        <f t="shared" si="26"/>
        <v>-66.261419753086329</v>
      </c>
      <c r="H18" s="6">
        <f t="shared" si="35"/>
        <v>43.233333333333334</v>
      </c>
      <c r="I18" s="6">
        <f t="shared" ref="I18" si="70">G18</f>
        <v>-66.261419753086329</v>
      </c>
      <c r="K18" s="6">
        <f t="shared" si="28"/>
        <v>12</v>
      </c>
      <c r="L18" s="6">
        <v>4330.12</v>
      </c>
      <c r="M18" s="6">
        <f>M17+L5</f>
        <v>6612.8307692307717</v>
      </c>
      <c r="N18" s="6">
        <v>4314.8500000000004</v>
      </c>
      <c r="O18" s="6">
        <f t="shared" si="12"/>
        <v>6612.8307692307717</v>
      </c>
      <c r="P18" s="6">
        <f t="shared" si="13"/>
        <v>43.502000000000002</v>
      </c>
      <c r="Q18" s="6">
        <f t="shared" si="14"/>
        <v>-66.213846153846163</v>
      </c>
      <c r="R18" s="6">
        <f t="shared" si="29"/>
        <v>43.247500000000002</v>
      </c>
      <c r="S18" s="6">
        <f t="shared" ref="S18" si="71">Q18</f>
        <v>-66.213846153846163</v>
      </c>
      <c r="U18" s="6">
        <f t="shared" si="31"/>
        <v>12</v>
      </c>
      <c r="V18" s="6">
        <f>V17+$V5</f>
        <v>4505.3671111111062</v>
      </c>
      <c r="W18" s="6">
        <v>6514</v>
      </c>
      <c r="X18" s="9">
        <f t="shared" ref="X18:Y18" si="72">X17+X5</f>
        <v>4515.3062222222206</v>
      </c>
      <c r="Y18" s="6">
        <f t="shared" si="72"/>
        <v>6444.382370370372</v>
      </c>
      <c r="Z18" s="6">
        <f t="shared" si="16"/>
        <v>45.089451851851834</v>
      </c>
      <c r="AA18" s="6">
        <f t="shared" si="17"/>
        <v>-65.233333333333334</v>
      </c>
      <c r="AB18" s="6">
        <f t="shared" si="18"/>
        <v>45.255103703703668</v>
      </c>
      <c r="AC18" s="6">
        <f t="shared" si="19"/>
        <v>-64.739706172839504</v>
      </c>
      <c r="AE18" s="6" t="s">
        <v>27</v>
      </c>
      <c r="AF18" s="6" t="s">
        <v>9</v>
      </c>
      <c r="AH18" s="6" t="s">
        <v>8</v>
      </c>
      <c r="AJ18" s="6" t="s">
        <v>9</v>
      </c>
      <c r="AL18" s="6" t="s">
        <v>8</v>
      </c>
    </row>
    <row r="19" spans="1:39" ht="14.5" x14ac:dyDescent="0.35">
      <c r="A19" s="6">
        <f t="shared" si="34"/>
        <v>12</v>
      </c>
      <c r="B19" s="6">
        <v>4334</v>
      </c>
      <c r="C19" s="6">
        <f>C18+B6</f>
        <v>6616.5037037037027</v>
      </c>
      <c r="D19" s="6">
        <v>4314</v>
      </c>
      <c r="E19" s="6">
        <f t="shared" si="24"/>
        <v>6616.5037037037027</v>
      </c>
      <c r="F19" s="6">
        <f t="shared" si="25"/>
        <v>43.56666666666667</v>
      </c>
      <c r="G19" s="6">
        <f t="shared" si="26"/>
        <v>-66.275061728395002</v>
      </c>
      <c r="H19" s="6">
        <f t="shared" si="35"/>
        <v>43.233333333333334</v>
      </c>
      <c r="I19" s="6">
        <f t="shared" ref="I19" si="73">G19</f>
        <v>-66.275061728395002</v>
      </c>
      <c r="K19" s="6">
        <f t="shared" si="28"/>
        <v>13</v>
      </c>
      <c r="L19" s="6">
        <v>4330.12</v>
      </c>
      <c r="M19" s="6">
        <f>M18+L5</f>
        <v>6613.3153846153873</v>
      </c>
      <c r="N19" s="6">
        <v>4314.8500000000004</v>
      </c>
      <c r="O19" s="6">
        <f t="shared" si="12"/>
        <v>6613.3153846153873</v>
      </c>
      <c r="P19" s="6">
        <f t="shared" si="13"/>
        <v>43.502000000000002</v>
      </c>
      <c r="Q19" s="6">
        <f t="shared" si="14"/>
        <v>-66.221923076923161</v>
      </c>
      <c r="R19" s="6">
        <f t="shared" si="29"/>
        <v>43.247500000000002</v>
      </c>
      <c r="S19" s="6">
        <f t="shared" ref="S19" si="74">Q19</f>
        <v>-66.221923076923161</v>
      </c>
      <c r="U19" s="6">
        <f t="shared" si="31"/>
        <v>13</v>
      </c>
      <c r="V19" s="6">
        <f>V18+$V5</f>
        <v>4505.6566666666613</v>
      </c>
      <c r="W19" s="6">
        <v>6514</v>
      </c>
      <c r="X19" s="6">
        <f t="shared" ref="X19:Y19" si="75">X18+X5</f>
        <v>4515.5183333333316</v>
      </c>
      <c r="Y19" s="6">
        <f t="shared" si="75"/>
        <v>6444.702222222224</v>
      </c>
      <c r="Z19" s="6">
        <f t="shared" si="16"/>
        <v>45.09427777777767</v>
      </c>
      <c r="AA19" s="6">
        <f t="shared" si="17"/>
        <v>-65.233333333333334</v>
      </c>
      <c r="AB19" s="6">
        <f t="shared" si="18"/>
        <v>45.258638888888832</v>
      </c>
      <c r="AC19" s="6">
        <f t="shared" si="19"/>
        <v>-64.745037037036994</v>
      </c>
      <c r="AE19" s="6">
        <v>1</v>
      </c>
      <c r="AF19" s="6">
        <v>4515</v>
      </c>
      <c r="AG19" s="6">
        <v>6503</v>
      </c>
      <c r="AH19" s="6">
        <v>4519</v>
      </c>
      <c r="AI19" s="6">
        <v>6450</v>
      </c>
      <c r="AJ19" s="6">
        <f>(LEFT(AF19,2)+((RIGHT(AF19,LEN(AF19)-2))/60))</f>
        <v>45.25</v>
      </c>
      <c r="AK19" s="6">
        <f>-(LEFT(AG19,2)+((RIGHT(AG19,LEN(AG19)-2))/60))</f>
        <v>-65.05</v>
      </c>
      <c r="AL19" s="6">
        <f t="shared" ref="AL19:AL22" si="76">(LEFT(AH19,2)+((RIGHT(AH19,LEN(AH19)-2))/60))</f>
        <v>45.31666666666667</v>
      </c>
      <c r="AM19" s="6">
        <f>-(LEFT(AI19,2)+((RIGHT(AI19,LEN(AI19)-2))/60))</f>
        <v>-64.833333333333329</v>
      </c>
    </row>
    <row r="20" spans="1:39" ht="14.5" x14ac:dyDescent="0.35">
      <c r="A20" s="6">
        <f t="shared" si="34"/>
        <v>13</v>
      </c>
      <c r="B20" s="6">
        <v>4334</v>
      </c>
      <c r="C20" s="6">
        <f>C19+B6</f>
        <v>6617.3222222222212</v>
      </c>
      <c r="D20" s="6">
        <v>4314</v>
      </c>
      <c r="E20" s="6">
        <f t="shared" si="24"/>
        <v>6617.3222222222212</v>
      </c>
      <c r="F20" s="6">
        <f t="shared" si="25"/>
        <v>43.56666666666667</v>
      </c>
      <c r="G20" s="6">
        <f t="shared" si="26"/>
        <v>-66.288703703703661</v>
      </c>
      <c r="H20" s="6">
        <f t="shared" si="35"/>
        <v>43.233333333333334</v>
      </c>
      <c r="I20" s="6">
        <f t="shared" ref="I20" si="77">G20</f>
        <v>-66.288703703703661</v>
      </c>
      <c r="K20" s="6">
        <f t="shared" si="28"/>
        <v>14</v>
      </c>
      <c r="L20" s="6">
        <v>4330.12</v>
      </c>
      <c r="M20" s="6">
        <f>M19+L5</f>
        <v>6613.8000000000029</v>
      </c>
      <c r="N20" s="6">
        <v>4314.8500000000004</v>
      </c>
      <c r="O20" s="6">
        <f t="shared" si="12"/>
        <v>6613.8000000000029</v>
      </c>
      <c r="P20" s="6">
        <f t="shared" si="13"/>
        <v>43.502000000000002</v>
      </c>
      <c r="Q20" s="6">
        <f t="shared" si="14"/>
        <v>-66.23</v>
      </c>
      <c r="R20" s="6">
        <f t="shared" si="29"/>
        <v>43.247500000000002</v>
      </c>
      <c r="S20" s="6">
        <f t="shared" ref="S20" si="78">Q20</f>
        <v>-66.23</v>
      </c>
      <c r="U20" s="6">
        <f t="shared" si="31"/>
        <v>14</v>
      </c>
      <c r="V20" s="6">
        <f>V19+$V5</f>
        <v>4505.9462222222164</v>
      </c>
      <c r="W20" s="6">
        <v>6514</v>
      </c>
      <c r="X20" s="6">
        <f t="shared" ref="X20:Y20" si="79">X19+X5</f>
        <v>4515.7304444444426</v>
      </c>
      <c r="Y20" s="6">
        <f t="shared" si="79"/>
        <v>6445.022074074076</v>
      </c>
      <c r="Z20" s="6">
        <f t="shared" si="16"/>
        <v>45.099103703703669</v>
      </c>
      <c r="AA20" s="6">
        <f t="shared" si="17"/>
        <v>-65.233333333333334</v>
      </c>
      <c r="AB20" s="6">
        <f t="shared" si="18"/>
        <v>45.262174074073997</v>
      </c>
      <c r="AC20" s="6">
        <f t="shared" si="19"/>
        <v>-64.750367901234668</v>
      </c>
      <c r="AE20" s="6">
        <v>2</v>
      </c>
      <c r="AF20" s="6">
        <v>4515.7830000000004</v>
      </c>
      <c r="AG20" s="6">
        <v>6503</v>
      </c>
      <c r="AH20" s="6">
        <v>4519.4669999999996</v>
      </c>
      <c r="AI20" s="6">
        <v>6451</v>
      </c>
      <c r="AJ20" s="6">
        <f t="shared" ref="AJ20:AJ22" si="80">(LEFT(AF20,2)+((RIGHT(AF20,LEN(AF20)-2))/60))</f>
        <v>45.26305</v>
      </c>
      <c r="AK20" s="6">
        <f t="shared" ref="AK20:AK22" si="81">-(LEFT(AG20,2)+((RIGHT(AG20,LEN(AG20)-2))/60))</f>
        <v>-65.05</v>
      </c>
      <c r="AL20" s="6">
        <f t="shared" si="76"/>
        <v>45.324449999999999</v>
      </c>
      <c r="AM20" s="6">
        <f t="shared" ref="AM20:AM22" si="82">-(LEFT(AI20,2)+((RIGHT(AI20,LEN(AI20)-2))/60))</f>
        <v>-64.849999999999994</v>
      </c>
    </row>
    <row r="21" spans="1:39" ht="15.75" customHeight="1" x14ac:dyDescent="0.35">
      <c r="A21" s="6">
        <f t="shared" si="34"/>
        <v>14</v>
      </c>
      <c r="B21" s="6">
        <v>4334</v>
      </c>
      <c r="C21" s="6">
        <f>C20+B6</f>
        <v>6618.1407407407396</v>
      </c>
      <c r="D21" s="6">
        <v>4314</v>
      </c>
      <c r="E21" s="6">
        <f t="shared" si="24"/>
        <v>6618.1407407407396</v>
      </c>
      <c r="F21" s="6">
        <f t="shared" si="25"/>
        <v>43.56666666666667</v>
      </c>
      <c r="G21" s="6">
        <f t="shared" si="26"/>
        <v>-66.302345679012333</v>
      </c>
      <c r="H21" s="6">
        <f t="shared" si="35"/>
        <v>43.233333333333334</v>
      </c>
      <c r="I21" s="6">
        <f t="shared" ref="I21" si="83">G21</f>
        <v>-66.302345679012333</v>
      </c>
      <c r="K21" s="6">
        <f t="shared" si="28"/>
        <v>15</v>
      </c>
      <c r="L21" s="6">
        <v>4330.12</v>
      </c>
      <c r="M21" s="6">
        <f>M20+L5</f>
        <v>6614.2846153846185</v>
      </c>
      <c r="N21" s="6">
        <v>4314.8500000000004</v>
      </c>
      <c r="O21" s="6">
        <f t="shared" si="12"/>
        <v>6614.2846153846185</v>
      </c>
      <c r="P21" s="6">
        <f t="shared" si="13"/>
        <v>43.502000000000002</v>
      </c>
      <c r="Q21" s="6">
        <f t="shared" si="14"/>
        <v>-66.238076923077003</v>
      </c>
      <c r="R21" s="6">
        <f t="shared" si="29"/>
        <v>43.247500000000002</v>
      </c>
      <c r="S21" s="6">
        <f t="shared" ref="S21" si="84">Q21</f>
        <v>-66.238076923077003</v>
      </c>
      <c r="U21" s="6">
        <f t="shared" si="31"/>
        <v>15</v>
      </c>
      <c r="V21" s="6">
        <f>V20+$V5</f>
        <v>4506.2357777777715</v>
      </c>
      <c r="W21" s="6">
        <v>6514</v>
      </c>
      <c r="X21" s="6">
        <f t="shared" ref="X21:Y21" si="85">X20+X5</f>
        <v>4515.9425555555536</v>
      </c>
      <c r="Y21" s="6">
        <f t="shared" si="85"/>
        <v>6445.3419259259281</v>
      </c>
      <c r="Z21" s="6">
        <f t="shared" si="16"/>
        <v>45.103929629629498</v>
      </c>
      <c r="AA21" s="6">
        <f t="shared" si="17"/>
        <v>-65.233333333333334</v>
      </c>
      <c r="AB21" s="6">
        <f t="shared" si="18"/>
        <v>45.265709259259168</v>
      </c>
      <c r="AC21" s="6">
        <f t="shared" si="19"/>
        <v>-64.755698765432172</v>
      </c>
      <c r="AE21" s="6">
        <v>3</v>
      </c>
      <c r="AF21" s="6">
        <v>4516.567</v>
      </c>
      <c r="AG21" s="6">
        <v>6503</v>
      </c>
      <c r="AH21" s="6">
        <v>4519.933</v>
      </c>
      <c r="AI21" s="6">
        <v>6452</v>
      </c>
      <c r="AJ21" s="6">
        <f t="shared" si="80"/>
        <v>45.276116666666667</v>
      </c>
      <c r="AK21" s="6">
        <f t="shared" si="81"/>
        <v>-65.05</v>
      </c>
      <c r="AL21" s="6">
        <f t="shared" si="76"/>
        <v>45.332216666666667</v>
      </c>
      <c r="AM21" s="6">
        <f t="shared" si="82"/>
        <v>-64.86666666666666</v>
      </c>
    </row>
    <row r="22" spans="1:39" ht="15.75" customHeight="1" x14ac:dyDescent="0.35">
      <c r="A22" s="6">
        <f t="shared" si="34"/>
        <v>15</v>
      </c>
      <c r="B22" s="6">
        <v>4334</v>
      </c>
      <c r="C22" s="6">
        <f>C21+B6</f>
        <v>6618.959259259258</v>
      </c>
      <c r="D22" s="6">
        <v>4314</v>
      </c>
      <c r="E22" s="6">
        <f t="shared" si="24"/>
        <v>6618.959259259258</v>
      </c>
      <c r="F22" s="6">
        <f t="shared" si="25"/>
        <v>43.56666666666667</v>
      </c>
      <c r="G22" s="6">
        <f t="shared" si="26"/>
        <v>-66.315987654321006</v>
      </c>
      <c r="H22" s="6">
        <f t="shared" si="35"/>
        <v>43.233333333333334</v>
      </c>
      <c r="I22" s="6">
        <f t="shared" ref="I22" si="86">G22</f>
        <v>-66.315987654321006</v>
      </c>
      <c r="K22" s="6">
        <f t="shared" si="28"/>
        <v>16</v>
      </c>
      <c r="L22" s="6">
        <v>4330.12</v>
      </c>
      <c r="M22" s="6">
        <f>M21+L5</f>
        <v>6614.7692307692341</v>
      </c>
      <c r="N22" s="6">
        <v>4314.8500000000004</v>
      </c>
      <c r="O22" s="6">
        <f t="shared" si="12"/>
        <v>6614.7692307692341</v>
      </c>
      <c r="P22" s="6">
        <f t="shared" si="13"/>
        <v>43.502000000000002</v>
      </c>
      <c r="Q22" s="6">
        <f t="shared" si="14"/>
        <v>-66.246153846153831</v>
      </c>
      <c r="R22" s="6">
        <f t="shared" si="29"/>
        <v>43.247500000000002</v>
      </c>
      <c r="S22" s="6">
        <f t="shared" ref="S22" si="87">Q22</f>
        <v>-66.246153846153831</v>
      </c>
      <c r="U22" s="6">
        <f t="shared" si="31"/>
        <v>16</v>
      </c>
      <c r="V22" s="6">
        <f>V21+$V5</f>
        <v>4506.5253333333267</v>
      </c>
      <c r="W22" s="6">
        <v>6514</v>
      </c>
      <c r="X22" s="6">
        <f t="shared" ref="X22:Y22" si="88">X21+X5</f>
        <v>4516.1546666666645</v>
      </c>
      <c r="Y22" s="6">
        <f t="shared" si="88"/>
        <v>6445.6617777777801</v>
      </c>
      <c r="Z22" s="6">
        <f t="shared" si="16"/>
        <v>45.108755555555497</v>
      </c>
      <c r="AA22" s="6">
        <f t="shared" si="17"/>
        <v>-65.233333333333334</v>
      </c>
      <c r="AB22" s="6">
        <f t="shared" si="18"/>
        <v>45.269244444444332</v>
      </c>
      <c r="AC22" s="6">
        <f t="shared" si="19"/>
        <v>-64.761029629629661</v>
      </c>
      <c r="AE22" s="6">
        <v>4</v>
      </c>
      <c r="AF22" s="6">
        <v>4517.3500000000004</v>
      </c>
      <c r="AG22" s="6">
        <v>6503</v>
      </c>
      <c r="AH22" s="6">
        <v>4520.3999999999996</v>
      </c>
      <c r="AI22" s="6">
        <v>6453</v>
      </c>
      <c r="AJ22" s="6">
        <f t="shared" si="80"/>
        <v>45.289166666666667</v>
      </c>
      <c r="AK22" s="6">
        <f t="shared" si="81"/>
        <v>-65.05</v>
      </c>
      <c r="AL22" s="6">
        <f t="shared" si="76"/>
        <v>45.34</v>
      </c>
      <c r="AM22" s="6">
        <f t="shared" si="82"/>
        <v>-64.88333333333334</v>
      </c>
    </row>
    <row r="23" spans="1:39" ht="15.75" customHeight="1" x14ac:dyDescent="0.35">
      <c r="A23" s="6">
        <f t="shared" si="34"/>
        <v>16</v>
      </c>
      <c r="B23" s="6">
        <v>4334</v>
      </c>
      <c r="C23" s="6">
        <f>C22+B6</f>
        <v>6619.7777777777765</v>
      </c>
      <c r="D23" s="6">
        <v>4314</v>
      </c>
      <c r="E23" s="6">
        <f t="shared" si="24"/>
        <v>6619.7777777777765</v>
      </c>
      <c r="F23" s="6">
        <f t="shared" si="25"/>
        <v>43.56666666666667</v>
      </c>
      <c r="G23" s="6">
        <f t="shared" si="26"/>
        <v>-66.329629629629665</v>
      </c>
      <c r="H23" s="6">
        <f t="shared" si="35"/>
        <v>43.233333333333334</v>
      </c>
      <c r="I23" s="6">
        <f t="shared" ref="I23" si="89">G23</f>
        <v>-66.329629629629665</v>
      </c>
      <c r="K23" s="6">
        <f t="shared" si="28"/>
        <v>17</v>
      </c>
      <c r="L23" s="6">
        <v>4330.12</v>
      </c>
      <c r="M23" s="6">
        <f>M22+L5</f>
        <v>6615.2538461538497</v>
      </c>
      <c r="N23" s="6">
        <v>4314.8500000000004</v>
      </c>
      <c r="O23" s="6">
        <f t="shared" si="12"/>
        <v>6615.2538461538497</v>
      </c>
      <c r="P23" s="6">
        <f t="shared" si="13"/>
        <v>43.502000000000002</v>
      </c>
      <c r="Q23" s="6">
        <f t="shared" si="14"/>
        <v>-66.25423076923083</v>
      </c>
      <c r="R23" s="6">
        <f t="shared" si="29"/>
        <v>43.247500000000002</v>
      </c>
      <c r="S23" s="6">
        <f t="shared" ref="S23" si="90">Q23</f>
        <v>-66.25423076923083</v>
      </c>
      <c r="U23" s="6">
        <f t="shared" si="31"/>
        <v>17</v>
      </c>
      <c r="V23" s="6">
        <f>V22+$V5</f>
        <v>4506.8148888888818</v>
      </c>
      <c r="W23" s="6">
        <v>6514</v>
      </c>
      <c r="X23" s="6">
        <f t="shared" ref="X23:Y23" si="91">X22+X5</f>
        <v>4516.3667777777755</v>
      </c>
      <c r="Y23" s="6">
        <f t="shared" si="91"/>
        <v>6445.9816296296322</v>
      </c>
      <c r="Z23" s="6">
        <f t="shared" si="16"/>
        <v>45.113581481481333</v>
      </c>
      <c r="AA23" s="6">
        <f t="shared" si="17"/>
        <v>-65.233333333333334</v>
      </c>
      <c r="AB23" s="6">
        <f t="shared" si="18"/>
        <v>45.272779629629667</v>
      </c>
      <c r="AC23" s="6">
        <f t="shared" si="19"/>
        <v>-64.766360493827165</v>
      </c>
      <c r="AE23" s="6" t="s">
        <v>28</v>
      </c>
      <c r="AF23" s="6">
        <v>4514.4199939999999</v>
      </c>
      <c r="AG23" s="6">
        <v>6503.107994</v>
      </c>
      <c r="AH23" s="9">
        <v>4518.5399939999998</v>
      </c>
      <c r="AI23" s="6">
        <v>6449.4080000000004</v>
      </c>
      <c r="AJ23" s="6">
        <v>45.244999999999997</v>
      </c>
      <c r="AK23" s="6">
        <v>-65.052999999999997</v>
      </c>
      <c r="AL23" s="6">
        <v>45.314999999999998</v>
      </c>
      <c r="AM23" s="6">
        <v>-64.828000000000003</v>
      </c>
    </row>
    <row r="24" spans="1:39" ht="15.75" customHeight="1" x14ac:dyDescent="0.35">
      <c r="A24" s="6">
        <f t="shared" si="34"/>
        <v>17</v>
      </c>
      <c r="B24" s="6">
        <v>4334</v>
      </c>
      <c r="C24" s="6">
        <f>C23+B6</f>
        <v>6620.5962962962949</v>
      </c>
      <c r="D24" s="6">
        <v>4314</v>
      </c>
      <c r="E24" s="6">
        <f t="shared" si="24"/>
        <v>6620.5962962962949</v>
      </c>
      <c r="F24" s="6">
        <f t="shared" si="25"/>
        <v>43.56666666666667</v>
      </c>
      <c r="G24" s="6">
        <f t="shared" si="26"/>
        <v>-66.343271604938167</v>
      </c>
      <c r="H24" s="6">
        <f t="shared" si="35"/>
        <v>43.233333333333334</v>
      </c>
      <c r="I24" s="6">
        <f t="shared" ref="I24" si="92">G24</f>
        <v>-66.343271604938167</v>
      </c>
      <c r="K24" s="6">
        <f t="shared" si="28"/>
        <v>18</v>
      </c>
      <c r="L24" s="6">
        <v>4330.12</v>
      </c>
      <c r="M24" s="6">
        <f>M23+L5</f>
        <v>6615.7384615384653</v>
      </c>
      <c r="N24" s="6">
        <v>4314.8500000000004</v>
      </c>
      <c r="O24" s="6">
        <f t="shared" si="12"/>
        <v>6615.7384615384653</v>
      </c>
      <c r="P24" s="6">
        <f t="shared" si="13"/>
        <v>43.502000000000002</v>
      </c>
      <c r="Q24" s="6">
        <f t="shared" si="14"/>
        <v>-66.262307692307829</v>
      </c>
      <c r="R24" s="6">
        <f t="shared" si="29"/>
        <v>43.247500000000002</v>
      </c>
      <c r="S24" s="6">
        <f t="shared" ref="S24" si="93">Q24</f>
        <v>-66.262307692307829</v>
      </c>
      <c r="U24" s="6">
        <f t="shared" si="31"/>
        <v>18</v>
      </c>
      <c r="V24" s="6">
        <f>V23+$V5</f>
        <v>4507.1044444444369</v>
      </c>
      <c r="W24" s="6">
        <v>6514</v>
      </c>
      <c r="X24" s="6">
        <f t="shared" ref="X24:Y24" si="94">X23+X5</f>
        <v>4516.5788888888865</v>
      </c>
      <c r="Y24" s="6">
        <f t="shared" si="94"/>
        <v>6446.3014814814842</v>
      </c>
      <c r="Z24" s="6">
        <f t="shared" si="16"/>
        <v>45.118407407407332</v>
      </c>
      <c r="AA24" s="6">
        <f t="shared" si="17"/>
        <v>-65.233333333333334</v>
      </c>
      <c r="AB24" s="6">
        <f t="shared" si="18"/>
        <v>45.276314814814832</v>
      </c>
      <c r="AC24" s="6">
        <f t="shared" si="19"/>
        <v>-64.771691358024668</v>
      </c>
    </row>
    <row r="25" spans="1:39" ht="15.75" customHeight="1" x14ac:dyDescent="0.35">
      <c r="A25" s="6">
        <f t="shared" si="34"/>
        <v>18</v>
      </c>
      <c r="B25" s="6">
        <v>4334</v>
      </c>
      <c r="C25" s="6">
        <f>C24+B6</f>
        <v>6621.4148148148133</v>
      </c>
      <c r="D25" s="6">
        <v>4314</v>
      </c>
      <c r="E25" s="6">
        <f t="shared" si="24"/>
        <v>6621.4148148148133</v>
      </c>
      <c r="F25" s="6">
        <f t="shared" si="25"/>
        <v>43.56666666666667</v>
      </c>
      <c r="G25" s="6">
        <f t="shared" si="26"/>
        <v>-66.35691358024684</v>
      </c>
      <c r="H25" s="6">
        <f t="shared" si="35"/>
        <v>43.233333333333334</v>
      </c>
      <c r="I25" s="6">
        <f t="shared" ref="I25" si="95">G25</f>
        <v>-66.35691358024684</v>
      </c>
      <c r="K25" s="6">
        <f t="shared" si="28"/>
        <v>19</v>
      </c>
      <c r="L25" s="6">
        <v>4330.12</v>
      </c>
      <c r="M25" s="6">
        <f>M24+L5</f>
        <v>6616.223076923081</v>
      </c>
      <c r="N25" s="6">
        <v>4314.8500000000004</v>
      </c>
      <c r="O25" s="6">
        <f t="shared" si="12"/>
        <v>6616.223076923081</v>
      </c>
      <c r="P25" s="6">
        <f t="shared" si="13"/>
        <v>43.502000000000002</v>
      </c>
      <c r="Q25" s="6">
        <f t="shared" si="14"/>
        <v>-66.270384615384671</v>
      </c>
      <c r="R25" s="6">
        <f t="shared" si="29"/>
        <v>43.247500000000002</v>
      </c>
      <c r="S25" s="6">
        <f t="shared" ref="S25" si="96">Q25</f>
        <v>-66.270384615384671</v>
      </c>
      <c r="U25" s="6" t="s">
        <v>28</v>
      </c>
      <c r="V25" s="6">
        <v>4502.1819999999998</v>
      </c>
      <c r="W25" s="6">
        <v>6514</v>
      </c>
      <c r="X25" s="6">
        <v>4512.973</v>
      </c>
      <c r="Y25" s="6">
        <v>6440.8639999999996</v>
      </c>
      <c r="Z25" s="6">
        <f t="shared" si="16"/>
        <v>45.036366666666666</v>
      </c>
      <c r="AA25" s="6">
        <f t="shared" si="17"/>
        <v>-65.233333333333334</v>
      </c>
      <c r="AB25" s="6">
        <f t="shared" si="18"/>
        <v>45.216216666666668</v>
      </c>
      <c r="AC25" s="6">
        <f t="shared" si="19"/>
        <v>-64.681066666666666</v>
      </c>
    </row>
    <row r="26" spans="1:39" ht="15.75" customHeight="1" x14ac:dyDescent="0.35">
      <c r="A26" s="6">
        <f t="shared" si="34"/>
        <v>19</v>
      </c>
      <c r="B26" s="6">
        <v>4334</v>
      </c>
      <c r="C26" s="6">
        <f>C25+B6</f>
        <v>6622.2333333333318</v>
      </c>
      <c r="D26" s="6">
        <v>4314</v>
      </c>
      <c r="E26" s="6">
        <f t="shared" si="24"/>
        <v>6622.2333333333318</v>
      </c>
      <c r="F26" s="6">
        <f t="shared" si="25"/>
        <v>43.56666666666667</v>
      </c>
      <c r="G26" s="6">
        <f t="shared" si="26"/>
        <v>-66.370555555555498</v>
      </c>
      <c r="H26" s="6">
        <f t="shared" si="35"/>
        <v>43.233333333333334</v>
      </c>
      <c r="I26" s="6">
        <f t="shared" ref="I26" si="97">G26</f>
        <v>-66.370555555555498</v>
      </c>
      <c r="K26" s="6">
        <f t="shared" si="28"/>
        <v>20</v>
      </c>
      <c r="L26" s="6">
        <v>4330.12</v>
      </c>
      <c r="M26" s="6">
        <f>M25+L5</f>
        <v>6616.7076923076966</v>
      </c>
      <c r="N26" s="6">
        <v>4314.8500000000004</v>
      </c>
      <c r="O26" s="6">
        <f t="shared" si="12"/>
        <v>6616.7076923076966</v>
      </c>
      <c r="P26" s="6">
        <f t="shared" si="13"/>
        <v>43.502000000000002</v>
      </c>
      <c r="Q26" s="6">
        <f t="shared" si="14"/>
        <v>-66.27846153846167</v>
      </c>
      <c r="R26" s="6">
        <f t="shared" si="29"/>
        <v>43.247500000000002</v>
      </c>
      <c r="S26" s="6">
        <f t="shared" ref="S26" si="98">Q26</f>
        <v>-66.27846153846167</v>
      </c>
    </row>
    <row r="27" spans="1:39" ht="15.75" customHeight="1" x14ac:dyDescent="0.35">
      <c r="A27" s="6">
        <f t="shared" si="34"/>
        <v>20</v>
      </c>
      <c r="B27" s="6">
        <v>4334</v>
      </c>
      <c r="C27" s="6">
        <f>C26+B6</f>
        <v>6623.0518518518502</v>
      </c>
      <c r="D27" s="6">
        <v>4314</v>
      </c>
      <c r="E27" s="6">
        <f t="shared" si="24"/>
        <v>6623.0518518518502</v>
      </c>
      <c r="F27" s="6">
        <f t="shared" si="25"/>
        <v>43.56666666666667</v>
      </c>
      <c r="G27" s="6">
        <f t="shared" si="26"/>
        <v>-66.384197530864171</v>
      </c>
      <c r="H27" s="6">
        <f t="shared" si="35"/>
        <v>43.233333333333334</v>
      </c>
      <c r="I27" s="6">
        <f t="shared" ref="I27" si="99">G27</f>
        <v>-66.384197530864171</v>
      </c>
      <c r="K27" s="6">
        <f t="shared" si="28"/>
        <v>21</v>
      </c>
      <c r="L27" s="6">
        <v>4330.12</v>
      </c>
      <c r="M27" s="6">
        <f>M26+L5</f>
        <v>6617.1923076923122</v>
      </c>
      <c r="N27" s="6">
        <v>4314.8500000000004</v>
      </c>
      <c r="O27" s="6">
        <f t="shared" si="12"/>
        <v>6617.1923076923122</v>
      </c>
      <c r="P27" s="6">
        <f t="shared" si="13"/>
        <v>43.502000000000002</v>
      </c>
      <c r="Q27" s="6">
        <f t="shared" si="14"/>
        <v>-66.286538461538498</v>
      </c>
      <c r="R27" s="6">
        <f t="shared" si="29"/>
        <v>43.247500000000002</v>
      </c>
      <c r="S27" s="6">
        <f t="shared" ref="S27" si="100">Q27</f>
        <v>-66.286538461538498</v>
      </c>
    </row>
    <row r="28" spans="1:39" ht="15.75" customHeight="1" x14ac:dyDescent="0.35">
      <c r="A28" s="6">
        <f t="shared" si="34"/>
        <v>21</v>
      </c>
      <c r="B28" s="6">
        <v>4334</v>
      </c>
      <c r="C28" s="6">
        <f>C27+B6</f>
        <v>6623.8703703703686</v>
      </c>
      <c r="D28" s="6">
        <v>4314</v>
      </c>
      <c r="E28" s="6">
        <f t="shared" si="24"/>
        <v>6623.8703703703686</v>
      </c>
      <c r="F28" s="6">
        <f t="shared" si="25"/>
        <v>43.56666666666667</v>
      </c>
      <c r="G28" s="6">
        <f t="shared" si="26"/>
        <v>-66.397839506172829</v>
      </c>
      <c r="H28" s="6">
        <f t="shared" si="35"/>
        <v>43.233333333333334</v>
      </c>
      <c r="I28" s="6">
        <f t="shared" ref="I28" si="101">G28</f>
        <v>-66.397839506172829</v>
      </c>
      <c r="K28" s="6">
        <f t="shared" si="28"/>
        <v>22</v>
      </c>
      <c r="L28" s="6">
        <v>4330.12</v>
      </c>
      <c r="M28" s="6">
        <f>M27+L5</f>
        <v>6617.6769230769278</v>
      </c>
      <c r="N28" s="6">
        <v>4314.8500000000004</v>
      </c>
      <c r="O28" s="6">
        <f t="shared" si="12"/>
        <v>6617.6769230769278</v>
      </c>
      <c r="P28" s="6">
        <f t="shared" si="13"/>
        <v>43.502000000000002</v>
      </c>
      <c r="Q28" s="6">
        <f t="shared" si="14"/>
        <v>-66.294615384615497</v>
      </c>
      <c r="R28" s="6">
        <f t="shared" si="29"/>
        <v>43.247500000000002</v>
      </c>
      <c r="S28" s="6">
        <f t="shared" ref="S28" si="102">Q28</f>
        <v>-66.294615384615497</v>
      </c>
    </row>
    <row r="29" spans="1:39" ht="15.75" customHeight="1" x14ac:dyDescent="0.35">
      <c r="A29" s="6">
        <f t="shared" si="34"/>
        <v>22</v>
      </c>
      <c r="B29" s="6">
        <v>4334</v>
      </c>
      <c r="C29" s="6">
        <f>C28+B6</f>
        <v>6624.688888888887</v>
      </c>
      <c r="D29" s="6">
        <v>4314</v>
      </c>
      <c r="E29" s="6">
        <f t="shared" si="24"/>
        <v>6624.688888888887</v>
      </c>
      <c r="F29" s="6">
        <f t="shared" si="25"/>
        <v>43.56666666666667</v>
      </c>
      <c r="G29" s="6">
        <f t="shared" si="26"/>
        <v>-66.411481481481502</v>
      </c>
      <c r="H29" s="6">
        <f t="shared" si="35"/>
        <v>43.233333333333334</v>
      </c>
      <c r="I29" s="6">
        <f t="shared" ref="I29" si="103">G29</f>
        <v>-66.411481481481502</v>
      </c>
      <c r="K29" s="6">
        <f t="shared" si="28"/>
        <v>23</v>
      </c>
      <c r="L29" s="6">
        <v>4330.12</v>
      </c>
      <c r="M29" s="6">
        <f>M28+L5</f>
        <v>6618.1615384615434</v>
      </c>
      <c r="N29" s="6">
        <v>4314.8500000000004</v>
      </c>
      <c r="O29" s="6">
        <f t="shared" si="12"/>
        <v>6618.1615384615434</v>
      </c>
      <c r="P29" s="6">
        <f t="shared" si="13"/>
        <v>43.502000000000002</v>
      </c>
      <c r="Q29" s="6">
        <f t="shared" si="14"/>
        <v>-66.30269230769234</v>
      </c>
      <c r="R29" s="6">
        <f t="shared" si="29"/>
        <v>43.247500000000002</v>
      </c>
      <c r="S29" s="6">
        <f t="shared" ref="S29" si="104">Q29</f>
        <v>-66.30269230769234</v>
      </c>
    </row>
    <row r="30" spans="1:39" ht="15.75" customHeight="1" x14ac:dyDescent="0.35">
      <c r="A30" s="6">
        <f t="shared" si="34"/>
        <v>23</v>
      </c>
      <c r="B30" s="6">
        <v>4334</v>
      </c>
      <c r="C30" s="6">
        <f>C29+B6</f>
        <v>6625.5074074074055</v>
      </c>
      <c r="D30" s="6">
        <v>4314</v>
      </c>
      <c r="E30" s="6">
        <f t="shared" si="24"/>
        <v>6625.5074074074055</v>
      </c>
      <c r="F30" s="6">
        <f t="shared" si="25"/>
        <v>43.56666666666667</v>
      </c>
      <c r="G30" s="6">
        <f t="shared" si="26"/>
        <v>-66.425123456790161</v>
      </c>
      <c r="H30" s="6">
        <f t="shared" si="35"/>
        <v>43.233333333333334</v>
      </c>
      <c r="I30" s="6">
        <f t="shared" ref="I30" si="105">G30</f>
        <v>-66.425123456790161</v>
      </c>
      <c r="K30" s="6">
        <f t="shared" si="28"/>
        <v>24</v>
      </c>
      <c r="L30" s="6">
        <v>4330.12</v>
      </c>
      <c r="M30" s="6">
        <f>M29+L5</f>
        <v>6618.646153846159</v>
      </c>
      <c r="N30" s="6">
        <v>4314.8500000000004</v>
      </c>
      <c r="O30" s="6">
        <f t="shared" si="12"/>
        <v>6618.646153846159</v>
      </c>
      <c r="P30" s="6">
        <f t="shared" si="13"/>
        <v>43.502000000000002</v>
      </c>
      <c r="Q30" s="6">
        <f t="shared" si="14"/>
        <v>-66.310769230769338</v>
      </c>
      <c r="R30" s="6">
        <f t="shared" si="29"/>
        <v>43.247500000000002</v>
      </c>
      <c r="S30" s="6">
        <f t="shared" ref="S30:S46" si="106">Q30</f>
        <v>-66.310769230769338</v>
      </c>
    </row>
    <row r="31" spans="1:39" ht="15.75" customHeight="1" x14ac:dyDescent="0.35">
      <c r="A31" s="6">
        <f t="shared" si="34"/>
        <v>24</v>
      </c>
      <c r="B31" s="6">
        <v>4334</v>
      </c>
      <c r="C31" s="6">
        <f>C30+B6</f>
        <v>6626.3259259259239</v>
      </c>
      <c r="D31" s="6">
        <v>4314</v>
      </c>
      <c r="E31" s="6">
        <f t="shared" si="24"/>
        <v>6626.3259259259239</v>
      </c>
      <c r="F31" s="6">
        <f t="shared" si="25"/>
        <v>43.56666666666667</v>
      </c>
      <c r="G31" s="6">
        <f t="shared" si="26"/>
        <v>-66.438765432098663</v>
      </c>
      <c r="H31" s="6">
        <f t="shared" si="35"/>
        <v>43.233333333333334</v>
      </c>
      <c r="I31" s="6">
        <f t="shared" ref="I31" si="107">G31</f>
        <v>-66.438765432098663</v>
      </c>
      <c r="K31" s="21">
        <f>K30+1</f>
        <v>25</v>
      </c>
      <c r="L31" s="6">
        <v>4330.12</v>
      </c>
      <c r="M31">
        <f>M30+L5</f>
        <v>6619.1307692307746</v>
      </c>
      <c r="N31" s="6">
        <v>4314.8500000000004</v>
      </c>
      <c r="O31" s="21">
        <f>O30+L5</f>
        <v>6619.1307692307746</v>
      </c>
      <c r="P31" s="6">
        <f t="shared" si="13"/>
        <v>43.502000000000002</v>
      </c>
      <c r="Q31" s="6">
        <f t="shared" si="14"/>
        <v>-66.318846153846167</v>
      </c>
      <c r="R31" s="6">
        <f t="shared" si="29"/>
        <v>43.247500000000002</v>
      </c>
      <c r="S31" s="6">
        <f t="shared" si="106"/>
        <v>-66.318846153846167</v>
      </c>
    </row>
    <row r="32" spans="1:39" ht="15.75" customHeight="1" x14ac:dyDescent="0.35">
      <c r="A32" s="6">
        <f t="shared" si="34"/>
        <v>25</v>
      </c>
      <c r="B32" s="6">
        <v>4334</v>
      </c>
      <c r="C32" s="6">
        <f>C31+B6</f>
        <v>6627.1444444444423</v>
      </c>
      <c r="D32" s="6">
        <v>4314</v>
      </c>
      <c r="E32" s="6">
        <f t="shared" ref="E32:E35" si="108">C32</f>
        <v>6627.1444444444423</v>
      </c>
      <c r="F32" s="6">
        <f t="shared" ref="F32:F35" si="109">(LEFT(B32,2)+((RIGHT(B32,LEN(B32)-2))/60))</f>
        <v>43.56666666666667</v>
      </c>
      <c r="G32" s="6">
        <f t="shared" ref="G32:G35" si="110">-(LEFT(C32,2)+((RIGHT(C32,LEN(C32)-2))/60))</f>
        <v>-66.452407407407335</v>
      </c>
      <c r="H32" s="6">
        <f t="shared" ref="H32:H35" si="111">(LEFT(D32,2)+((RIGHT(D32,LEN(D32)-2))/60))</f>
        <v>43.233333333333334</v>
      </c>
      <c r="I32" s="6">
        <f t="shared" ref="I32:I35" si="112">G32</f>
        <v>-66.452407407407335</v>
      </c>
      <c r="K32" s="21">
        <f t="shared" ref="K32:K46" si="113">K31+1</f>
        <v>26</v>
      </c>
      <c r="L32" s="6">
        <v>4330.12</v>
      </c>
      <c r="M32">
        <f>M31+L5</f>
        <v>6619.6153846153902</v>
      </c>
      <c r="N32" s="6">
        <v>4314.8500000000004</v>
      </c>
      <c r="O32" s="21">
        <f>O31+L5</f>
        <v>6619.6153846153902</v>
      </c>
      <c r="P32" s="6">
        <f t="shared" si="13"/>
        <v>43.502000000000002</v>
      </c>
      <c r="Q32" s="6">
        <f t="shared" si="14"/>
        <v>-66.326923076923165</v>
      </c>
      <c r="R32" s="6">
        <f t="shared" si="29"/>
        <v>43.247500000000002</v>
      </c>
      <c r="S32" s="6">
        <f t="shared" si="106"/>
        <v>-66.326923076923165</v>
      </c>
    </row>
    <row r="33" spans="1:19" ht="15.75" customHeight="1" x14ac:dyDescent="0.35">
      <c r="A33" s="6">
        <f t="shared" si="34"/>
        <v>26</v>
      </c>
      <c r="B33" s="6">
        <v>4334</v>
      </c>
      <c r="C33" s="6">
        <f>C32+B6</f>
        <v>6627.9629629629608</v>
      </c>
      <c r="D33" s="6">
        <v>4314</v>
      </c>
      <c r="E33" s="6">
        <f t="shared" si="108"/>
        <v>6627.9629629629608</v>
      </c>
      <c r="F33" s="6">
        <f t="shared" si="109"/>
        <v>43.56666666666667</v>
      </c>
      <c r="G33" s="6">
        <f t="shared" si="110"/>
        <v>-66.466049382715994</v>
      </c>
      <c r="H33" s="6">
        <f t="shared" si="111"/>
        <v>43.233333333333334</v>
      </c>
      <c r="I33" s="6">
        <f t="shared" si="112"/>
        <v>-66.466049382715994</v>
      </c>
      <c r="K33" s="21">
        <f t="shared" si="113"/>
        <v>27</v>
      </c>
      <c r="L33" s="6">
        <v>4330.12</v>
      </c>
      <c r="M33">
        <f>M32+L5</f>
        <v>6620.1000000000058</v>
      </c>
      <c r="N33" s="6">
        <v>4314.8500000000004</v>
      </c>
      <c r="O33">
        <f>O32+L5</f>
        <v>6620.1000000000058</v>
      </c>
      <c r="P33" s="6">
        <f t="shared" si="13"/>
        <v>43.502000000000002</v>
      </c>
      <c r="Q33" s="6">
        <f t="shared" si="14"/>
        <v>-66.335000000000164</v>
      </c>
      <c r="R33" s="6">
        <f t="shared" si="29"/>
        <v>43.247500000000002</v>
      </c>
      <c r="S33" s="6">
        <f>Q33</f>
        <v>-66.335000000000164</v>
      </c>
    </row>
    <row r="34" spans="1:19" ht="15.75" customHeight="1" x14ac:dyDescent="0.35">
      <c r="A34" s="6">
        <f t="shared" si="34"/>
        <v>27</v>
      </c>
      <c r="B34" s="6">
        <v>4334</v>
      </c>
      <c r="C34" s="6">
        <f>C33+B6</f>
        <v>6628.7814814814792</v>
      </c>
      <c r="D34" s="6">
        <v>4314</v>
      </c>
      <c r="E34" s="6">
        <f t="shared" si="108"/>
        <v>6628.7814814814792</v>
      </c>
      <c r="F34" s="6">
        <f t="shared" si="109"/>
        <v>43.56666666666667</v>
      </c>
      <c r="G34" s="6">
        <f t="shared" si="110"/>
        <v>-66.479691358024667</v>
      </c>
      <c r="H34" s="6">
        <f t="shared" si="111"/>
        <v>43.233333333333334</v>
      </c>
      <c r="I34" s="6">
        <f t="shared" si="112"/>
        <v>-66.479691358024667</v>
      </c>
      <c r="K34" s="21">
        <f t="shared" si="113"/>
        <v>28</v>
      </c>
      <c r="L34" s="6">
        <v>4330.12</v>
      </c>
      <c r="M34">
        <f>M33+L5</f>
        <v>6620.5846153846214</v>
      </c>
      <c r="N34" s="6">
        <v>4314.8500000000004</v>
      </c>
      <c r="O34">
        <f>O33+L5</f>
        <v>6620.5846153846214</v>
      </c>
      <c r="P34" s="6">
        <f t="shared" si="13"/>
        <v>43.502000000000002</v>
      </c>
      <c r="Q34" s="6">
        <f t="shared" si="14"/>
        <v>-66.343076923077007</v>
      </c>
      <c r="R34" s="6">
        <f t="shared" si="29"/>
        <v>43.247500000000002</v>
      </c>
      <c r="S34" s="6">
        <f t="shared" si="106"/>
        <v>-66.343076923077007</v>
      </c>
    </row>
    <row r="35" spans="1:19" ht="15.75" customHeight="1" x14ac:dyDescent="0.35">
      <c r="A35" s="6">
        <f t="shared" si="34"/>
        <v>28</v>
      </c>
      <c r="B35" s="6">
        <v>4334</v>
      </c>
      <c r="C35" s="6">
        <f>C34+B6</f>
        <v>6629.5999999999976</v>
      </c>
      <c r="D35" s="6">
        <v>4314</v>
      </c>
      <c r="E35" s="6">
        <f t="shared" si="108"/>
        <v>6629.5999999999976</v>
      </c>
      <c r="F35" s="6">
        <f t="shared" si="109"/>
        <v>43.56666666666667</v>
      </c>
      <c r="G35" s="6">
        <f t="shared" si="110"/>
        <v>-66.493333333333339</v>
      </c>
      <c r="H35" s="6">
        <f t="shared" si="111"/>
        <v>43.233333333333334</v>
      </c>
      <c r="I35" s="6">
        <f t="shared" si="112"/>
        <v>-66.493333333333339</v>
      </c>
      <c r="K35" s="21">
        <f t="shared" si="113"/>
        <v>29</v>
      </c>
      <c r="L35" s="6">
        <v>4330.12</v>
      </c>
      <c r="M35">
        <f>M34+L5</f>
        <v>6621.069230769237</v>
      </c>
      <c r="N35" s="6">
        <v>4314.8500000000004</v>
      </c>
      <c r="O35">
        <f>O34+L5</f>
        <v>6621.069230769237</v>
      </c>
      <c r="P35" s="6">
        <f t="shared" si="13"/>
        <v>43.502000000000002</v>
      </c>
      <c r="Q35" s="6">
        <f t="shared" si="14"/>
        <v>-66.351153846154006</v>
      </c>
      <c r="R35" s="6">
        <f t="shared" si="29"/>
        <v>43.247500000000002</v>
      </c>
      <c r="S35" s="6">
        <f t="shared" si="106"/>
        <v>-66.351153846154006</v>
      </c>
    </row>
    <row r="36" spans="1:19" ht="15.75" customHeight="1" x14ac:dyDescent="0.35">
      <c r="A36" s="6">
        <f t="shared" si="34"/>
        <v>29</v>
      </c>
      <c r="B36" s="6">
        <v>4334</v>
      </c>
      <c r="C36" s="6">
        <f>C35+B6</f>
        <v>6630.4185185185161</v>
      </c>
      <c r="D36" s="6">
        <v>4314</v>
      </c>
      <c r="E36" s="6">
        <f t="shared" ref="E36:E47" si="114">C36</f>
        <v>6630.4185185185161</v>
      </c>
      <c r="F36" s="6">
        <f t="shared" ref="F36:F47" si="115">(LEFT(B36,2)+((RIGHT(B36,LEN(B36)-2))/60))</f>
        <v>43.56666666666667</v>
      </c>
      <c r="G36" s="6">
        <f t="shared" ref="G36:G47" si="116">-(LEFT(C36,2)+((RIGHT(C36,LEN(C36)-2))/60))</f>
        <v>-66.506975308641998</v>
      </c>
      <c r="H36" s="6">
        <f t="shared" ref="H36:H47" si="117">(LEFT(D36,2)+((RIGHT(D36,LEN(D36)-2))/60))</f>
        <v>43.233333333333334</v>
      </c>
      <c r="I36" s="6">
        <f t="shared" ref="I36:I47" si="118">G36</f>
        <v>-66.506975308641998</v>
      </c>
      <c r="K36" s="21">
        <f t="shared" si="113"/>
        <v>30</v>
      </c>
      <c r="L36" s="6">
        <v>4330.12</v>
      </c>
      <c r="M36">
        <f>M35+L5</f>
        <v>6621.5538461538526</v>
      </c>
      <c r="N36" s="6">
        <v>4314.8500000000004</v>
      </c>
      <c r="O36">
        <f>O35+L5</f>
        <v>6621.5538461538526</v>
      </c>
      <c r="P36" s="6">
        <f t="shared" si="13"/>
        <v>43.502000000000002</v>
      </c>
      <c r="Q36" s="6">
        <f t="shared" si="14"/>
        <v>-66.359230769230834</v>
      </c>
      <c r="R36" s="6">
        <f t="shared" si="29"/>
        <v>43.247500000000002</v>
      </c>
      <c r="S36" s="6">
        <f t="shared" si="106"/>
        <v>-66.359230769230834</v>
      </c>
    </row>
    <row r="37" spans="1:19" ht="15.75" customHeight="1" x14ac:dyDescent="0.35">
      <c r="A37" s="6">
        <f t="shared" si="34"/>
        <v>30</v>
      </c>
      <c r="B37" s="6">
        <v>4334</v>
      </c>
      <c r="C37" s="6">
        <f>C36+B6</f>
        <v>6631.2370370370345</v>
      </c>
      <c r="D37" s="6">
        <v>4314</v>
      </c>
      <c r="E37" s="6">
        <f t="shared" si="114"/>
        <v>6631.2370370370345</v>
      </c>
      <c r="F37" s="6">
        <f t="shared" si="115"/>
        <v>43.56666666666667</v>
      </c>
      <c r="G37" s="6">
        <f t="shared" si="116"/>
        <v>-66.5206172839505</v>
      </c>
      <c r="H37" s="6">
        <f t="shared" si="117"/>
        <v>43.233333333333334</v>
      </c>
      <c r="I37" s="6">
        <f t="shared" si="118"/>
        <v>-66.5206172839505</v>
      </c>
      <c r="K37" s="21">
        <f t="shared" si="113"/>
        <v>31</v>
      </c>
      <c r="L37" s="6">
        <v>4330.12</v>
      </c>
      <c r="M37">
        <f>M36+L5</f>
        <v>6622.0384615384683</v>
      </c>
      <c r="N37" s="6">
        <v>4314.8500000000004</v>
      </c>
      <c r="O37">
        <f>O36+L5</f>
        <v>6622.0384615384683</v>
      </c>
      <c r="P37" s="6">
        <f t="shared" si="13"/>
        <v>43.502000000000002</v>
      </c>
      <c r="Q37" s="6">
        <f t="shared" si="14"/>
        <v>-66.367307692307833</v>
      </c>
      <c r="R37" s="6">
        <f t="shared" si="29"/>
        <v>43.247500000000002</v>
      </c>
      <c r="S37" s="6">
        <f t="shared" si="106"/>
        <v>-66.367307692307833</v>
      </c>
    </row>
    <row r="38" spans="1:19" ht="15.75" customHeight="1" x14ac:dyDescent="0.35">
      <c r="A38" s="6">
        <f t="shared" si="34"/>
        <v>31</v>
      </c>
      <c r="B38" s="6">
        <v>4334</v>
      </c>
      <c r="C38" s="6">
        <f>C37+B6</f>
        <v>6632.0555555555529</v>
      </c>
      <c r="D38" s="6">
        <v>4314</v>
      </c>
      <c r="E38" s="6">
        <f t="shared" si="114"/>
        <v>6632.0555555555529</v>
      </c>
      <c r="F38" s="6">
        <f t="shared" si="115"/>
        <v>43.56666666666667</v>
      </c>
      <c r="G38" s="6">
        <f t="shared" si="116"/>
        <v>-66.534259259259173</v>
      </c>
      <c r="H38" s="6">
        <f t="shared" si="117"/>
        <v>43.233333333333334</v>
      </c>
      <c r="I38" s="6">
        <f t="shared" si="118"/>
        <v>-66.534259259259173</v>
      </c>
      <c r="K38" s="21">
        <f t="shared" si="113"/>
        <v>32</v>
      </c>
      <c r="L38" s="6">
        <v>4330.12</v>
      </c>
      <c r="M38">
        <f>M37+L5</f>
        <v>6622.5230769230839</v>
      </c>
      <c r="N38" s="6">
        <v>4314.8500000000004</v>
      </c>
      <c r="O38">
        <f>O37+L5</f>
        <v>6622.5230769230839</v>
      </c>
      <c r="P38" s="6">
        <f t="shared" si="13"/>
        <v>43.502000000000002</v>
      </c>
      <c r="Q38" s="6">
        <f t="shared" si="14"/>
        <v>-66.375384615384661</v>
      </c>
      <c r="R38" s="6">
        <f t="shared" si="29"/>
        <v>43.247500000000002</v>
      </c>
      <c r="S38" s="6">
        <f t="shared" si="106"/>
        <v>-66.375384615384661</v>
      </c>
    </row>
    <row r="39" spans="1:19" ht="15.75" customHeight="1" x14ac:dyDescent="0.35">
      <c r="A39" s="6">
        <f t="shared" si="34"/>
        <v>32</v>
      </c>
      <c r="B39" s="6">
        <v>4334</v>
      </c>
      <c r="C39" s="6">
        <f>C38+B6</f>
        <v>6632.8740740740714</v>
      </c>
      <c r="D39" s="6">
        <v>4314</v>
      </c>
      <c r="E39" s="6">
        <f t="shared" si="114"/>
        <v>6632.8740740740714</v>
      </c>
      <c r="F39" s="6">
        <f t="shared" si="115"/>
        <v>43.56666666666667</v>
      </c>
      <c r="G39" s="6">
        <f t="shared" si="116"/>
        <v>-66.547901234567831</v>
      </c>
      <c r="H39" s="6">
        <f t="shared" si="117"/>
        <v>43.233333333333334</v>
      </c>
      <c r="I39" s="6">
        <f t="shared" si="118"/>
        <v>-66.547901234567831</v>
      </c>
      <c r="K39" s="21">
        <f t="shared" si="113"/>
        <v>33</v>
      </c>
      <c r="L39" s="6">
        <v>4330.12</v>
      </c>
      <c r="M39">
        <f>M38+L5</f>
        <v>6623.0076923076995</v>
      </c>
      <c r="N39" s="6">
        <v>4314.8500000000004</v>
      </c>
      <c r="O39">
        <f>O38+L5</f>
        <v>6623.0076923076995</v>
      </c>
      <c r="P39" s="6">
        <f t="shared" si="13"/>
        <v>43.502000000000002</v>
      </c>
      <c r="Q39" s="6">
        <f t="shared" si="14"/>
        <v>-66.38346153846166</v>
      </c>
      <c r="R39" s="6">
        <f t="shared" si="29"/>
        <v>43.247500000000002</v>
      </c>
      <c r="S39" s="6">
        <f t="shared" si="106"/>
        <v>-66.38346153846166</v>
      </c>
    </row>
    <row r="40" spans="1:19" ht="15.75" customHeight="1" x14ac:dyDescent="0.35">
      <c r="A40" s="6">
        <f t="shared" si="34"/>
        <v>33</v>
      </c>
      <c r="B40" s="6">
        <v>4334</v>
      </c>
      <c r="C40" s="6">
        <f>C39+B6</f>
        <v>6633.6925925925898</v>
      </c>
      <c r="D40" s="6">
        <v>4314</v>
      </c>
      <c r="E40" s="6">
        <f t="shared" si="114"/>
        <v>6633.6925925925898</v>
      </c>
      <c r="F40" s="6">
        <f t="shared" si="115"/>
        <v>43.56666666666667</v>
      </c>
      <c r="G40" s="6">
        <f t="shared" si="116"/>
        <v>-66.561543209876504</v>
      </c>
      <c r="H40" s="6">
        <f t="shared" si="117"/>
        <v>43.233333333333334</v>
      </c>
      <c r="I40" s="6">
        <f t="shared" si="118"/>
        <v>-66.561543209876504</v>
      </c>
      <c r="K40" s="21">
        <f t="shared" si="113"/>
        <v>34</v>
      </c>
      <c r="L40" s="6">
        <v>4330.12</v>
      </c>
      <c r="M40">
        <f>M39+L5</f>
        <v>6623.4923076923151</v>
      </c>
      <c r="N40" s="6">
        <v>4314.8500000000004</v>
      </c>
      <c r="O40">
        <f>O39+L5</f>
        <v>6623.4923076923151</v>
      </c>
      <c r="P40" s="6">
        <f t="shared" si="13"/>
        <v>43.502000000000002</v>
      </c>
      <c r="Q40" s="6">
        <f t="shared" si="14"/>
        <v>-66.391538461538673</v>
      </c>
      <c r="R40" s="6">
        <f t="shared" si="29"/>
        <v>43.247500000000002</v>
      </c>
      <c r="S40" s="6">
        <f t="shared" si="106"/>
        <v>-66.391538461538673</v>
      </c>
    </row>
    <row r="41" spans="1:19" ht="15.75" customHeight="1" x14ac:dyDescent="0.35">
      <c r="A41" s="6">
        <f t="shared" si="34"/>
        <v>34</v>
      </c>
      <c r="B41" s="6">
        <v>4334</v>
      </c>
      <c r="C41" s="6">
        <f>C40+B6</f>
        <v>6634.5111111111082</v>
      </c>
      <c r="D41" s="6">
        <v>4314</v>
      </c>
      <c r="E41" s="6">
        <f t="shared" si="114"/>
        <v>6634.5111111111082</v>
      </c>
      <c r="F41" s="6">
        <f t="shared" si="115"/>
        <v>43.56666666666667</v>
      </c>
      <c r="G41" s="6">
        <f t="shared" si="116"/>
        <v>-66.575185185185163</v>
      </c>
      <c r="H41" s="6">
        <f t="shared" si="117"/>
        <v>43.233333333333334</v>
      </c>
      <c r="I41" s="6">
        <f t="shared" si="118"/>
        <v>-66.575185185185163</v>
      </c>
      <c r="K41" s="21">
        <f t="shared" si="113"/>
        <v>35</v>
      </c>
      <c r="L41" s="6">
        <v>4330.12</v>
      </c>
      <c r="M41">
        <f>M40+L5</f>
        <v>6623.9769230769307</v>
      </c>
      <c r="N41" s="6">
        <v>4314.8500000000004</v>
      </c>
      <c r="O41">
        <f>O40+L5</f>
        <v>6623.9769230769307</v>
      </c>
      <c r="P41" s="6">
        <f t="shared" si="13"/>
        <v>43.502000000000002</v>
      </c>
      <c r="Q41" s="6">
        <f t="shared" si="14"/>
        <v>-66.399615384615501</v>
      </c>
      <c r="R41" s="6">
        <f t="shared" si="29"/>
        <v>43.247500000000002</v>
      </c>
      <c r="S41" s="6">
        <f t="shared" si="106"/>
        <v>-66.399615384615501</v>
      </c>
    </row>
    <row r="42" spans="1:19" ht="15.75" customHeight="1" x14ac:dyDescent="0.35">
      <c r="A42" s="6">
        <f t="shared" si="34"/>
        <v>35</v>
      </c>
      <c r="B42" s="6">
        <v>4334</v>
      </c>
      <c r="C42" s="6">
        <f>C41+B6</f>
        <v>6635.3296296296267</v>
      </c>
      <c r="D42" s="6">
        <v>4314</v>
      </c>
      <c r="E42" s="6">
        <f>C42</f>
        <v>6635.3296296296267</v>
      </c>
      <c r="F42" s="6">
        <f t="shared" si="115"/>
        <v>43.56666666666667</v>
      </c>
      <c r="G42" s="6">
        <f t="shared" si="116"/>
        <v>-66.588827160493835</v>
      </c>
      <c r="H42" s="6">
        <f t="shared" si="117"/>
        <v>43.233333333333334</v>
      </c>
      <c r="I42" s="6">
        <f t="shared" si="118"/>
        <v>-66.588827160493835</v>
      </c>
      <c r="K42" s="21">
        <f t="shared" si="113"/>
        <v>36</v>
      </c>
      <c r="L42" s="6">
        <v>4330.12</v>
      </c>
      <c r="M42">
        <f>M41+L5</f>
        <v>6624.4615384615463</v>
      </c>
      <c r="N42" s="6">
        <v>4314.8500000000004</v>
      </c>
      <c r="O42">
        <f>O41+L5</f>
        <v>6624.4615384615463</v>
      </c>
      <c r="P42" s="6">
        <f t="shared" si="13"/>
        <v>43.502000000000002</v>
      </c>
      <c r="Q42" s="6">
        <f t="shared" si="14"/>
        <v>-66.4076923076925</v>
      </c>
      <c r="R42" s="6">
        <f t="shared" si="29"/>
        <v>43.247500000000002</v>
      </c>
      <c r="S42" s="6">
        <f t="shared" si="106"/>
        <v>-66.4076923076925</v>
      </c>
    </row>
    <row r="43" spans="1:19" ht="15.75" customHeight="1" x14ac:dyDescent="0.35">
      <c r="A43" s="6">
        <f t="shared" si="34"/>
        <v>36</v>
      </c>
      <c r="B43" s="6">
        <v>4334</v>
      </c>
      <c r="C43" s="6">
        <f>C42+B6</f>
        <v>6636.1481481481451</v>
      </c>
      <c r="D43" s="6">
        <v>4314</v>
      </c>
      <c r="E43" s="6">
        <f t="shared" si="114"/>
        <v>6636.1481481481451</v>
      </c>
      <c r="F43" s="6">
        <f t="shared" si="115"/>
        <v>43.56666666666667</v>
      </c>
      <c r="G43" s="6">
        <f t="shared" si="116"/>
        <v>-66.602469135802494</v>
      </c>
      <c r="H43" s="6">
        <f t="shared" si="117"/>
        <v>43.233333333333334</v>
      </c>
      <c r="I43" s="6">
        <f t="shared" si="118"/>
        <v>-66.602469135802494</v>
      </c>
      <c r="K43" s="21">
        <f t="shared" si="113"/>
        <v>37</v>
      </c>
      <c r="L43" s="6">
        <v>4330.12</v>
      </c>
      <c r="M43">
        <f>M42+L5</f>
        <v>6624.9461538461619</v>
      </c>
      <c r="N43" s="6">
        <v>4314.8500000000004</v>
      </c>
      <c r="O43">
        <f>O42+L5</f>
        <v>6624.9461538461619</v>
      </c>
      <c r="P43" s="6">
        <f t="shared" si="13"/>
        <v>43.502000000000002</v>
      </c>
      <c r="Q43" s="6">
        <f t="shared" si="14"/>
        <v>-66.415769230769328</v>
      </c>
      <c r="R43" s="6">
        <f t="shared" si="29"/>
        <v>43.247500000000002</v>
      </c>
      <c r="S43" s="6">
        <f t="shared" si="106"/>
        <v>-66.415769230769328</v>
      </c>
    </row>
    <row r="44" spans="1:19" ht="15.75" customHeight="1" x14ac:dyDescent="0.35">
      <c r="A44" s="6">
        <f t="shared" si="34"/>
        <v>37</v>
      </c>
      <c r="B44" s="6">
        <v>4334</v>
      </c>
      <c r="C44" s="6">
        <f>C43+B6</f>
        <v>6636.9666666666635</v>
      </c>
      <c r="D44" s="6">
        <v>4314</v>
      </c>
      <c r="E44" s="6">
        <f t="shared" si="114"/>
        <v>6636.9666666666635</v>
      </c>
      <c r="F44" s="6">
        <f t="shared" si="115"/>
        <v>43.56666666666667</v>
      </c>
      <c r="G44" s="6">
        <f t="shared" si="116"/>
        <v>-66.616111111110996</v>
      </c>
      <c r="H44" s="6">
        <f t="shared" si="117"/>
        <v>43.233333333333334</v>
      </c>
      <c r="I44" s="6">
        <f t="shared" si="118"/>
        <v>-66.616111111110996</v>
      </c>
      <c r="K44" s="21">
        <f t="shared" si="113"/>
        <v>38</v>
      </c>
      <c r="L44" s="6">
        <v>4330.12</v>
      </c>
      <c r="M44">
        <f>M43+L5</f>
        <v>6625.4307692307775</v>
      </c>
      <c r="N44" s="6">
        <v>4314.8500000000004</v>
      </c>
      <c r="O44">
        <f>O43+L5</f>
        <v>6625.4307692307775</v>
      </c>
      <c r="P44" s="6">
        <f t="shared" si="13"/>
        <v>43.502000000000002</v>
      </c>
      <c r="Q44" s="6">
        <f t="shared" si="14"/>
        <v>-66.423846153846327</v>
      </c>
      <c r="R44" s="6">
        <f t="shared" si="29"/>
        <v>43.247500000000002</v>
      </c>
      <c r="S44" s="6">
        <f t="shared" si="106"/>
        <v>-66.423846153846327</v>
      </c>
    </row>
    <row r="45" spans="1:19" ht="15.75" customHeight="1" x14ac:dyDescent="0.35">
      <c r="A45" s="6">
        <f t="shared" si="34"/>
        <v>38</v>
      </c>
      <c r="B45" s="6">
        <v>4334</v>
      </c>
      <c r="C45" s="6">
        <f>C44+B6</f>
        <v>6637.7851851851819</v>
      </c>
      <c r="D45" s="6">
        <v>4314</v>
      </c>
      <c r="E45" s="6">
        <f t="shared" si="114"/>
        <v>6637.7851851851819</v>
      </c>
      <c r="F45" s="6">
        <f t="shared" si="115"/>
        <v>43.56666666666667</v>
      </c>
      <c r="G45" s="6">
        <f t="shared" si="116"/>
        <v>-66.629753086419669</v>
      </c>
      <c r="H45" s="6">
        <f t="shared" si="117"/>
        <v>43.233333333333334</v>
      </c>
      <c r="I45" s="6">
        <f t="shared" si="118"/>
        <v>-66.629753086419669</v>
      </c>
      <c r="K45" s="21">
        <f t="shared" si="113"/>
        <v>39</v>
      </c>
      <c r="L45" s="6">
        <v>4330.12</v>
      </c>
      <c r="M45">
        <f>M44+L5</f>
        <v>6625.9153846153931</v>
      </c>
      <c r="N45" s="6">
        <v>4314.8500000000004</v>
      </c>
      <c r="O45">
        <f>O44+L5</f>
        <v>6625.9153846153931</v>
      </c>
      <c r="P45" s="6">
        <f t="shared" si="13"/>
        <v>43.502000000000002</v>
      </c>
      <c r="Q45" s="6">
        <f t="shared" si="14"/>
        <v>-66.431923076923169</v>
      </c>
      <c r="R45" s="6">
        <f t="shared" si="29"/>
        <v>43.247500000000002</v>
      </c>
      <c r="S45" s="6">
        <f t="shared" si="106"/>
        <v>-66.431923076923169</v>
      </c>
    </row>
    <row r="46" spans="1:19" ht="15.75" customHeight="1" x14ac:dyDescent="0.35">
      <c r="A46" s="6">
        <f t="shared" si="34"/>
        <v>39</v>
      </c>
      <c r="B46" s="6">
        <v>4334</v>
      </c>
      <c r="C46" s="6">
        <f>C45+B6</f>
        <v>6638.6037037037004</v>
      </c>
      <c r="D46" s="6">
        <v>4314</v>
      </c>
      <c r="E46" s="6">
        <f t="shared" si="114"/>
        <v>6638.6037037037004</v>
      </c>
      <c r="F46" s="6">
        <f t="shared" si="115"/>
        <v>43.56666666666667</v>
      </c>
      <c r="G46" s="6">
        <f t="shared" si="116"/>
        <v>-66.643395061728327</v>
      </c>
      <c r="H46" s="6">
        <f t="shared" si="117"/>
        <v>43.233333333333334</v>
      </c>
      <c r="I46" s="6">
        <f t="shared" si="118"/>
        <v>-66.643395061728327</v>
      </c>
      <c r="K46" s="21">
        <f t="shared" si="113"/>
        <v>40</v>
      </c>
      <c r="L46" s="6">
        <v>4330.12</v>
      </c>
      <c r="M46">
        <f>M45+L5</f>
        <v>6626.4000000000087</v>
      </c>
      <c r="N46" s="6">
        <v>4314.8500000000004</v>
      </c>
      <c r="O46">
        <f>O45+L5</f>
        <v>6626.4000000000087</v>
      </c>
      <c r="P46" s="6">
        <f t="shared" si="13"/>
        <v>43.502000000000002</v>
      </c>
      <c r="Q46" s="6">
        <f t="shared" si="14"/>
        <v>-66.440000000000168</v>
      </c>
      <c r="R46" s="6">
        <f t="shared" si="29"/>
        <v>43.247500000000002</v>
      </c>
      <c r="S46" s="6">
        <f t="shared" si="106"/>
        <v>-66.440000000000168</v>
      </c>
    </row>
    <row r="47" spans="1:19" ht="15.75" customHeight="1" x14ac:dyDescent="0.35">
      <c r="A47" s="6">
        <f t="shared" si="34"/>
        <v>40</v>
      </c>
      <c r="B47" s="6">
        <v>4334</v>
      </c>
      <c r="C47" s="6">
        <f>C46+B6</f>
        <v>6639.4222222222188</v>
      </c>
      <c r="D47" s="6">
        <v>4314</v>
      </c>
      <c r="E47" s="6">
        <f t="shared" si="114"/>
        <v>6639.4222222222188</v>
      </c>
      <c r="F47" s="6">
        <f t="shared" si="115"/>
        <v>43.56666666666667</v>
      </c>
      <c r="G47" s="6">
        <f t="shared" si="116"/>
        <v>-66.657037037037</v>
      </c>
      <c r="H47" s="6">
        <f t="shared" si="117"/>
        <v>43.233333333333334</v>
      </c>
      <c r="I47" s="6">
        <f t="shared" si="118"/>
        <v>-66.657037037037</v>
      </c>
      <c r="K47" s="21"/>
    </row>
    <row r="48" spans="1:19" ht="15.75" customHeight="1" x14ac:dyDescent="0.35">
      <c r="A48" s="6" t="s">
        <v>30</v>
      </c>
      <c r="B48" s="6">
        <v>6629.6</v>
      </c>
      <c r="G48" s="6">
        <f>-(LEFT(B48,2)+((RIGHT(B48,LEN(B48)-2))/60))</f>
        <v>-66.493333333333339</v>
      </c>
      <c r="K48" s="6" t="s">
        <v>30</v>
      </c>
      <c r="L48" s="6">
        <v>6613.8</v>
      </c>
    </row>
    <row r="49" spans="1:12" ht="15.75" customHeight="1" x14ac:dyDescent="0.35">
      <c r="A49" s="6" t="s">
        <v>32</v>
      </c>
      <c r="B49" s="6">
        <v>4314</v>
      </c>
      <c r="K49" s="6" t="s">
        <v>31</v>
      </c>
      <c r="L49" s="6">
        <v>4330.12</v>
      </c>
    </row>
    <row r="50" spans="1:12" ht="15.75" customHeight="1" x14ac:dyDescent="0.35"/>
    <row r="51" spans="1:12" ht="15.75" customHeight="1" x14ac:dyDescent="0.35"/>
    <row r="52" spans="1:12" ht="15.75" customHeight="1" x14ac:dyDescent="0.35"/>
    <row r="53" spans="1:12" ht="15.75" customHeight="1" x14ac:dyDescent="0.35"/>
    <row r="54" spans="1:12" ht="15.75" customHeight="1" x14ac:dyDescent="0.35"/>
    <row r="55" spans="1:12" ht="15.75" customHeight="1" x14ac:dyDescent="0.35"/>
    <row r="56" spans="1:12" ht="15.75" customHeight="1" x14ac:dyDescent="0.35"/>
    <row r="57" spans="1:12" ht="15.75" customHeight="1" x14ac:dyDescent="0.35"/>
    <row r="58" spans="1:12" ht="15.75" customHeight="1" x14ac:dyDescent="0.35"/>
    <row r="59" spans="1:12" ht="15.75" customHeight="1" x14ac:dyDescent="0.35"/>
    <row r="60" spans="1:12" ht="15.75" customHeight="1" x14ac:dyDescent="0.35"/>
    <row r="61" spans="1:12" ht="15.75" customHeight="1" x14ac:dyDescent="0.35"/>
    <row r="62" spans="1:12" ht="15.75" customHeight="1" x14ac:dyDescent="0.35"/>
    <row r="63" spans="1:12" ht="15.75" customHeight="1" x14ac:dyDescent="0.35"/>
    <row r="64" spans="1:12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Entry</vt:lpstr>
      <vt:lpstr>survey plan</vt:lpstr>
      <vt:lpstr>Table</vt:lpstr>
      <vt:lpstr>Back 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Herring Science Technician</dc:creator>
  <cp:lastModifiedBy>Tracey Leask</cp:lastModifiedBy>
  <dcterms:created xsi:type="dcterms:W3CDTF">2023-01-24T18:13:42Z</dcterms:created>
  <dcterms:modified xsi:type="dcterms:W3CDTF">2026-09-02T14:26:22Z</dcterms:modified>
</cp:coreProperties>
</file>